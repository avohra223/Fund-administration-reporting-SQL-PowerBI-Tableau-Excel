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khil Vohra\Downloads\"/>
    </mc:Choice>
  </mc:AlternateContent>
  <xr:revisionPtr revIDLastSave="0" documentId="8_{3C891540-05B7-49B7-9811-168DFF6F4BB2}" xr6:coauthVersionLast="47" xr6:coauthVersionMax="47" xr10:uidLastSave="{00000000-0000-0000-0000-000000000000}"/>
  <bookViews>
    <workbookView xWindow="-110" yWindow="-110" windowWidth="19420" windowHeight="11500" tabRatio="500" firstSheet="5" activeTab="6" xr2:uid="{00000000-000D-0000-FFFF-FFFF00000000}"/>
  </bookViews>
  <sheets>
    <sheet name="LP Statement" sheetId="1" r:id="rId1"/>
    <sheet name="Transaction Detail" sheetId="2" r:id="rId2"/>
    <sheet name="Fund Performance" sheetId="3" r:id="rId3"/>
    <sheet name="NAV Attribution" sheetId="4" r:id="rId4"/>
    <sheet name="Cash Flow Timeline" sheetId="5" r:id="rId5"/>
    <sheet name="Fee Summary" sheetId="6" r:id="rId6"/>
    <sheet name="FX Impact Summary"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4" i="6" l="1"/>
  <c r="D23" i="6"/>
  <c r="D22" i="6"/>
  <c r="F18" i="6"/>
  <c r="F17" i="6"/>
  <c r="E17" i="6"/>
  <c r="F16" i="6"/>
  <c r="E16" i="6"/>
  <c r="F15" i="6"/>
  <c r="E15" i="6"/>
  <c r="F14" i="6"/>
  <c r="E14" i="6"/>
  <c r="F13" i="6"/>
  <c r="E13" i="6"/>
  <c r="F12" i="6"/>
  <c r="E12" i="6"/>
  <c r="F11" i="6"/>
  <c r="E11" i="6"/>
  <c r="F10" i="6"/>
  <c r="E10" i="6"/>
  <c r="F9" i="6"/>
  <c r="E9" i="6"/>
  <c r="F8" i="6"/>
  <c r="E8" i="6"/>
  <c r="F7" i="6"/>
  <c r="E7" i="6"/>
  <c r="H14" i="5"/>
  <c r="H13" i="5"/>
  <c r="H12" i="5"/>
  <c r="H11" i="5"/>
  <c r="H10" i="5"/>
  <c r="H9" i="5"/>
  <c r="H8" i="5"/>
  <c r="H7" i="5"/>
  <c r="H6" i="5"/>
  <c r="F19" i="1"/>
  <c r="F18" i="1"/>
  <c r="C6" i="3"/>
  <c r="C5" i="3"/>
  <c r="E24" i="4"/>
  <c r="C24" i="4"/>
  <c r="E23" i="4"/>
  <c r="C23" i="4"/>
  <c r="E22" i="4"/>
  <c r="C22" i="4"/>
  <c r="E21" i="4"/>
  <c r="C21" i="4"/>
  <c r="E20" i="4"/>
  <c r="E7" i="4"/>
  <c r="E15" i="4"/>
  <c r="C15" i="4"/>
  <c r="E14" i="4"/>
  <c r="C14" i="4"/>
  <c r="E13" i="4"/>
  <c r="C13" i="4"/>
  <c r="E12" i="4"/>
  <c r="C12" i="4"/>
  <c r="E11" i="4"/>
  <c r="C11" i="4"/>
  <c r="E10" i="4"/>
  <c r="C10" i="4"/>
  <c r="E9" i="4"/>
  <c r="C9" i="4"/>
  <c r="E8" i="4"/>
  <c r="C8" i="4"/>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G23" i="7"/>
  <c r="G22" i="7"/>
  <c r="F22" i="7"/>
  <c r="G21" i="7"/>
  <c r="F21" i="7"/>
  <c r="G20" i="7"/>
  <c r="F20" i="7"/>
  <c r="G19" i="7"/>
  <c r="F19" i="7"/>
  <c r="G18" i="7"/>
  <c r="F18" i="7"/>
  <c r="G17" i="7"/>
  <c r="F17" i="7"/>
  <c r="G16" i="7"/>
  <c r="F16" i="7"/>
  <c r="G15" i="7"/>
  <c r="F15" i="7"/>
  <c r="G14" i="7"/>
  <c r="F14" i="7"/>
  <c r="G13" i="7"/>
  <c r="F13" i="7"/>
  <c r="G12" i="7"/>
  <c r="F12" i="7"/>
  <c r="G11" i="7"/>
  <c r="F11" i="7"/>
  <c r="G10" i="7"/>
  <c r="F10" i="7"/>
  <c r="G9" i="7"/>
  <c r="F9" i="7"/>
  <c r="G8" i="7"/>
  <c r="F8" i="7"/>
  <c r="G7" i="7"/>
  <c r="F7" i="7"/>
  <c r="G14" i="5"/>
  <c r="G13" i="5"/>
  <c r="G12" i="5"/>
  <c r="G11" i="5"/>
  <c r="G10" i="5"/>
  <c r="G9" i="5"/>
  <c r="G8" i="5"/>
  <c r="G7" i="5"/>
  <c r="G6" i="5"/>
  <c r="G15" i="5" s="1"/>
  <c r="E15" i="5"/>
  <c r="E14" i="5"/>
  <c r="E13" i="5"/>
  <c r="E12" i="5"/>
  <c r="E11" i="5"/>
  <c r="E10" i="5"/>
  <c r="E9" i="5"/>
  <c r="E8" i="5"/>
  <c r="E7" i="5"/>
  <c r="E6" i="5"/>
  <c r="F15" i="5"/>
  <c r="C15" i="5"/>
  <c r="D15" i="5"/>
  <c r="F20" i="1"/>
  <c r="E20" i="1"/>
  <c r="D20" i="1"/>
  <c r="C20" i="1"/>
</calcChain>
</file>

<file path=xl/sharedStrings.xml><?xml version="1.0" encoding="utf-8"?>
<sst xmlns="http://schemas.openxmlformats.org/spreadsheetml/2006/main" count="288" uniqueCount="149">
  <si>
    <t>INVESTOR QUARTERLY STATEMENT</t>
  </si>
  <si>
    <t>Private Markets Fund Administration  |  Q2 2024</t>
  </si>
  <si>
    <t>INVESTOR DETAILS</t>
  </si>
  <si>
    <t>Investor Name</t>
  </si>
  <si>
    <t>Stichting Pensioenfonds ABN</t>
  </si>
  <si>
    <t>Investor Type</t>
  </si>
  <si>
    <t>Pension Fund</t>
  </si>
  <si>
    <t>Country</t>
  </si>
  <si>
    <t>Netherlands</t>
  </si>
  <si>
    <t>Reporting Currency</t>
  </si>
  <si>
    <t>EUR</t>
  </si>
  <si>
    <t>KYC Status</t>
  </si>
  <si>
    <t>Approved ✓</t>
  </si>
  <si>
    <t>Statement Date</t>
  </si>
  <si>
    <t>30 June 2024</t>
  </si>
  <si>
    <t>PORTFOLIO SUMMARY</t>
  </si>
  <si>
    <t>Fund</t>
  </si>
  <si>
    <t>Total Committed ($)</t>
  </si>
  <si>
    <t>Total Called ($)</t>
  </si>
  <si>
    <t>Total Distributed ($)</t>
  </si>
  <si>
    <t>Unfunded ($)</t>
  </si>
  <si>
    <t>Apex Buyout Fund III</t>
  </si>
  <si>
    <t>Meridian Growth Capital II</t>
  </si>
  <si>
    <t>TOTAL</t>
  </si>
  <si>
    <t>TRANSACTION DETAIL — Stichting Pensioenfonds ABN</t>
  </si>
  <si>
    <t>All transactions from inception through Q2 2024</t>
  </si>
  <si>
    <t>Date</t>
  </si>
  <si>
    <t>Transaction Type</t>
  </si>
  <si>
    <t>Amount (Fund Base $)</t>
  </si>
  <si>
    <t>Currency</t>
  </si>
  <si>
    <t>FX Rate</t>
  </si>
  <si>
    <t>31 Mar 2022</t>
  </si>
  <si>
    <t>Management Fee</t>
  </si>
  <si>
    <t>01 Apr 2022</t>
  </si>
  <si>
    <t>Capital Call</t>
  </si>
  <si>
    <t>30 Jun 2022</t>
  </si>
  <si>
    <t>01 Jul 2022</t>
  </si>
  <si>
    <t>30 Sep 2022</t>
  </si>
  <si>
    <t>31 Dec 2022</t>
  </si>
  <si>
    <t>31 Mar 2023</t>
  </si>
  <si>
    <t>01 Apr 2023</t>
  </si>
  <si>
    <t>30 Jun 2023</t>
  </si>
  <si>
    <t>01 Jul 2023</t>
  </si>
  <si>
    <t>01 Sep 2023</t>
  </si>
  <si>
    <t>30 Sep 2023</t>
  </si>
  <si>
    <t>15 Jan 2024</t>
  </si>
  <si>
    <t>31 Mar 2024</t>
  </si>
  <si>
    <t>30 Jun 2024</t>
  </si>
  <si>
    <t>Distribution</t>
  </si>
  <si>
    <t>USD</t>
  </si>
  <si>
    <t>TOTAL CAPITAL CALLED</t>
  </si>
  <si>
    <t>FUND PERFORMANCE METRICS — As at Q2 2024</t>
  </si>
  <si>
    <t>Total Commitment ($)</t>
  </si>
  <si>
    <t>DPI</t>
  </si>
  <si>
    <t>Note: DPI (Distributions to Paid-In) measures cash returned to investors relative to capital called. DPI &gt; 1.0x indicates full return of capital. All figures in USD fund base currency.</t>
  </si>
  <si>
    <t>NAV ATTRIBUTION — Stichting Pensioenfonds ABN</t>
  </si>
  <si>
    <t>Quarterly movement in Net Asset Value by fund | Q2 2022 – Q2 2024</t>
  </si>
  <si>
    <t>Quarter</t>
  </si>
  <si>
    <t>Opening NAV ($)</t>
  </si>
  <si>
    <t>Capital Called ($)</t>
  </si>
  <si>
    <t>Fees &amp; Expenses ($)</t>
  </si>
  <si>
    <t>Closing NAV ($)</t>
  </si>
  <si>
    <t>CASH FLOW TIMELINE — J-Curve Analysis</t>
  </si>
  <si>
    <t>Cumulative net cash flow from inception | Negative = capital deployed, Positive = net distributions received</t>
  </si>
  <si>
    <t>Distributions ($)</t>
  </si>
  <si>
    <t>Net Cash Flow ($)</t>
  </si>
  <si>
    <t>Cumulative Net ($)</t>
  </si>
  <si>
    <t>J-Curve Status</t>
  </si>
  <si>
    <t>2022Q1</t>
  </si>
  <si>
    <t>2022Q2</t>
  </si>
  <si>
    <t>2022Q3</t>
  </si>
  <si>
    <t>2022Q4</t>
  </si>
  <si>
    <t>2023Q1</t>
  </si>
  <si>
    <t>2023Q2</t>
  </si>
  <si>
    <t>2023Q3</t>
  </si>
  <si>
    <t>2024Q1</t>
  </si>
  <si>
    <t>2024Q2</t>
  </si>
  <si>
    <t>J-Curve Note: Private equity investments typically show negative cumulative cash flows in early years as capital is deployed. Returns materialise as portfolio companies are sold and distributions are made. This investor remains in the J-Curve phase.</t>
  </si>
  <si>
    <t>FEE SUMMARY — Management Fees &amp; Expenses</t>
  </si>
  <si>
    <t>Fees charged to Stichting Pensioenfonds ABN from inception through Q2 2024</t>
  </si>
  <si>
    <t>MANAGEMENT FEES BY FUND &amp; PERIOD</t>
  </si>
  <si>
    <t>Period</t>
  </si>
  <si>
    <t>Fee Type</t>
  </si>
  <si>
    <t>Local Amount</t>
  </si>
  <si>
    <t>USD Equivalent ($)</t>
  </si>
  <si>
    <t>Mar 2022</t>
  </si>
  <si>
    <t>Jun 2022</t>
  </si>
  <si>
    <t>Sep 2022</t>
  </si>
  <si>
    <t>Dec 2022</t>
  </si>
  <si>
    <t>Other Expense</t>
  </si>
  <si>
    <t>Mar 2023</t>
  </si>
  <si>
    <t>Jun 2023</t>
  </si>
  <si>
    <t>Sep 2023</t>
  </si>
  <si>
    <t>Mar 2024</t>
  </si>
  <si>
    <t>TOTAL FEES PAID</t>
  </si>
  <si>
    <t>ANNUAL FEE SUMMARY</t>
  </si>
  <si>
    <t>Year</t>
  </si>
  <si>
    <t>Total Fees ($)</t>
  </si>
  <si>
    <t>As % of Called Capital</t>
  </si>
  <si>
    <t>2022</t>
  </si>
  <si>
    <t>2023</t>
  </si>
  <si>
    <t>2024</t>
  </si>
  <si>
    <t>FX IMPACT SUMMARY — EUR/USD Translation</t>
  </si>
  <si>
    <t>Stichting Pensioenfonds ABN reports in EUR | Fund base currency is USD</t>
  </si>
  <si>
    <t>TRANSACTION-LEVEL FX IMPACT</t>
  </si>
  <si>
    <t>Local Amount (EUR)</t>
  </si>
  <si>
    <t>FX Rate Applied</t>
  </si>
  <si>
    <t>TOTAL FX IMPACT</t>
  </si>
  <si>
    <t>EUR/USD EXCHANGE RATES — QUARTERLY</t>
  </si>
  <si>
    <t>Quarter End</t>
  </si>
  <si>
    <t>EUR/USD Rate</t>
  </si>
  <si>
    <t>vs Prior Quarter</t>
  </si>
  <si>
    <t>Jan 2022</t>
  </si>
  <si>
    <t>—</t>
  </si>
  <si>
    <t>Feb 2022</t>
  </si>
  <si>
    <t>Apr 2022</t>
  </si>
  <si>
    <t>May 2022</t>
  </si>
  <si>
    <t>Jul 2022</t>
  </si>
  <si>
    <t>Aug 2022</t>
  </si>
  <si>
    <t>Oct 2022</t>
  </si>
  <si>
    <t>Nov 2022</t>
  </si>
  <si>
    <t>Jan 2023</t>
  </si>
  <si>
    <t>Feb 2023</t>
  </si>
  <si>
    <t>Apr 2023</t>
  </si>
  <si>
    <t>May 2023</t>
  </si>
  <si>
    <t>Jul 2023</t>
  </si>
  <si>
    <t>Aug 2023</t>
  </si>
  <si>
    <t>Oct 2023</t>
  </si>
  <si>
    <t>Nov 2023</t>
  </si>
  <si>
    <t>Dec 2023</t>
  </si>
  <si>
    <t>Jan 2024</t>
  </si>
  <si>
    <t>Feb 2024</t>
  </si>
  <si>
    <t>Apr 2024</t>
  </si>
  <si>
    <t>May 2024</t>
  </si>
  <si>
    <t>Jun 2024</t>
  </si>
  <si>
    <t>Jul 2024</t>
  </si>
  <si>
    <t>Aug 2024</t>
  </si>
  <si>
    <t>Sep 2024</t>
  </si>
  <si>
    <t>Rate vs Current ($)</t>
  </si>
  <si>
    <t>Q2 2022</t>
  </si>
  <si>
    <t>Q3 2022</t>
  </si>
  <si>
    <t>Q4 2022</t>
  </si>
  <si>
    <t>Q1 2023</t>
  </si>
  <si>
    <t>Q2 2023</t>
  </si>
  <si>
    <t>Q3 2023</t>
  </si>
  <si>
    <t>Q4 2023</t>
  </si>
  <si>
    <t>Q1 2024</t>
  </si>
  <si>
    <t>Q2 2024</t>
  </si>
  <si>
    <t>Unrealised Gains / (Losses)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</si>
</sst>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quot;#,##0\);\-"/>
    <numFmt numFmtId="165" formatCode="0.0000"/>
    <numFmt numFmtId="166" formatCode="0.00\x"/>
    <numFmt numFmtId="167" formatCode="0.0%;\(0.0%\);\-"/>
    <numFmt numFmtId="168" formatCode="\€#,##0"/>
    <numFmt numFmtId="169" formatCode="\+0.0%;\-0.0%"/>
  </numFmts>
  <fonts count="19" x14ac:knownFonts="1">
    <font>
      <sz val="11"/>
      <color theme="1"/>
      <name val="Calibri"/>
      <family val="2"/>
      <charset val="1"/>
    </font>
    <font>
      <b/>
      <sz val="18"/>
      <color rgb="FFFFFFFF"/>
      <name val="Arial"/>
      <family val="2"/>
    </font>
    <font>
      <sz val="11"/>
      <color rgb="FFFFFFFF"/>
      <name val="Arial"/>
      <family val="2"/>
    </font>
    <font>
      <b/>
      <sz val="10"/>
      <color rgb="FFFFFFFF"/>
      <name val="Arial"/>
      <family val="2"/>
    </font>
    <font>
      <b/>
      <sz val="10"/>
      <color rgb="FF444444"/>
      <name val="Arial"/>
      <family val="2"/>
    </font>
    <font>
      <b/>
      <sz val="10"/>
      <color rgb="FF1B2A4A"/>
      <name val="Arial"/>
      <family val="2"/>
    </font>
    <font>
      <b/>
      <sz val="9"/>
      <color rgb="FFFFFFFF"/>
      <name val="Arial"/>
      <family val="2"/>
    </font>
    <font>
      <b/>
      <sz val="10"/>
      <color rgb="FF000000"/>
      <name val="Arial"/>
      <family val="2"/>
    </font>
    <font>
      <sz val="10"/>
      <color rgb="FF000000"/>
      <name val="Arial"/>
      <family val="2"/>
    </font>
    <font>
      <b/>
      <sz val="14"/>
      <color rgb="FFFFFFFF"/>
      <name val="Arial"/>
      <family val="2"/>
    </font>
    <font>
      <sz val="10"/>
      <color rgb="FFFFFFFF"/>
      <name val="Arial"/>
      <family val="2"/>
    </font>
    <font>
      <sz val="10"/>
      <color rgb="FF666666"/>
      <name val="Arial"/>
      <family val="2"/>
    </font>
    <font>
      <b/>
      <sz val="10"/>
      <color rgb="FF1A7A4A"/>
      <name val="Arial"/>
      <family val="2"/>
    </font>
    <font>
      <sz val="10"/>
      <color rgb="FF1A7A4A"/>
      <name val="Arial"/>
      <family val="2"/>
    </font>
    <font>
      <i/>
      <sz val="9"/>
      <color rgb="FF666666"/>
      <name val="Arial"/>
      <family val="2"/>
    </font>
    <font>
      <b/>
      <sz val="11"/>
      <color rgb="FFFFFFFF"/>
      <name val="Arial"/>
      <family val="2"/>
    </font>
    <font>
      <sz val="10"/>
      <color rgb="FFC0392B"/>
      <name val="Arial"/>
      <family val="2"/>
    </font>
    <font>
      <b/>
      <sz val="10"/>
      <color rgb="FFC0392B"/>
      <name val="Arial"/>
      <family val="2"/>
    </font>
    <font>
      <b/>
      <sz val="10"/>
      <color rgb="FFD4780A"/>
      <name val="Arial"/>
      <family val="2"/>
    </font>
  </fonts>
  <fills count="11">
    <fill>
      <patternFill patternType="none"/>
    </fill>
    <fill>
      <patternFill patternType="gray125"/>
    </fill>
    <fill>
      <patternFill patternType="solid">
        <fgColor rgb="FF1B2A4A"/>
        <bgColor rgb="FF003366"/>
      </patternFill>
    </fill>
    <fill>
      <patternFill patternType="solid">
        <fgColor rgb="FF2E5090"/>
        <bgColor rgb="FF444444"/>
      </patternFill>
    </fill>
    <fill>
      <patternFill patternType="solid">
        <fgColor rgb="FFF5F5F5"/>
        <bgColor rgb="FFFFFFFF"/>
      </patternFill>
    </fill>
    <fill>
      <patternFill patternType="solid">
        <fgColor rgb="FFFFFFFF"/>
        <bgColor rgb="FFF5F5F5"/>
      </patternFill>
    </fill>
    <fill>
      <patternFill patternType="solid">
        <fgColor rgb="FFD6E4F0"/>
        <bgColor rgb="FFF5F5F5"/>
      </patternFill>
    </fill>
    <fill>
      <patternFill patternType="solid">
        <fgColor rgb="FF1B2A4A"/>
        <bgColor indexed="64"/>
      </patternFill>
    </fill>
    <fill>
      <patternFill patternType="solid">
        <fgColor rgb="FFF5F5F5"/>
        <bgColor indexed="64"/>
      </patternFill>
    </fill>
    <fill>
      <patternFill patternType="solid">
        <fgColor rgb="FFFFFFFF"/>
        <bgColor indexed="64"/>
      </patternFill>
    </fill>
    <fill>
      <patternFill patternType="solid">
        <fgColor rgb="FFD6E4F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s>
  <cellStyleXfs count="1">
    <xf numFmtId="0" fontId="0" fillId="0" borderId="0"/>
  </cellStyleXfs>
  <cellXfs count="74">
    <xf numFmtId="0" fontId="0" fillId="0" borderId="0" xfId="0"/>
    <xf numFmtId="0" fontId="3" fillId="3" borderId="1" xfId="0" applyFont="1" applyFill="1" applyBorder="1" applyAlignment="1">
      <alignment horizontal="center" vertical="center" wrapText="1"/>
    </xf>
    <xf numFmtId="0" fontId="15" fillId="3" borderId="2" xfId="0" applyFont="1" applyFill="1" applyBorder="1" applyAlignment="1">
      <alignment horizontal="left" vertical="center" wrapText="1"/>
    </xf>
    <xf numFmtId="0" fontId="14" fillId="0" borderId="0" xfId="0" applyFont="1" applyAlignment="1">
      <alignment horizontal="left" vertical="center" wrapText="1"/>
    </xf>
    <xf numFmtId="0" fontId="5" fillId="6" borderId="1" xfId="0" applyFont="1" applyFill="1" applyBorder="1" applyAlignment="1">
      <alignment horizontal="left" vertical="center"/>
    </xf>
    <xf numFmtId="0" fontId="10" fillId="3" borderId="0" xfId="0" applyFont="1" applyFill="1" applyAlignment="1">
      <alignment horizontal="center" vertical="center"/>
    </xf>
    <xf numFmtId="0" fontId="9" fillId="2" borderId="0" xfId="0" applyFont="1" applyFill="1" applyAlignment="1">
      <alignment horizontal="center" vertical="center"/>
    </xf>
    <xf numFmtId="0" fontId="5" fillId="5" borderId="1" xfId="0" applyFont="1" applyFill="1" applyBorder="1" applyAlignment="1">
      <alignment horizontal="left" vertical="center"/>
    </xf>
    <xf numFmtId="0" fontId="5" fillId="4" borderId="1" xfId="0" applyFont="1" applyFill="1" applyBorder="1" applyAlignment="1">
      <alignment horizontal="left" vertical="center"/>
    </xf>
    <xf numFmtId="0" fontId="3" fillId="3" borderId="0" xfId="0" applyFont="1" applyFill="1" applyAlignment="1">
      <alignment horizontal="center" vertical="center" wrapTex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0" fontId="6" fillId="2" borderId="0" xfId="0" applyFont="1" applyFill="1" applyAlignment="1">
      <alignment horizontal="center" vertical="center" wrapText="1"/>
    </xf>
    <xf numFmtId="0" fontId="7" fillId="4" borderId="1" xfId="0" applyFont="1" applyFill="1" applyBorder="1" applyAlignment="1">
      <alignment horizontal="left" vertical="center"/>
    </xf>
    <xf numFmtId="164" fontId="8" fillId="4" borderId="1" xfId="0" applyNumberFormat="1" applyFont="1" applyFill="1" applyBorder="1" applyAlignment="1">
      <alignment horizontal="right" vertical="center"/>
    </xf>
    <xf numFmtId="0" fontId="7" fillId="5" borderId="1" xfId="0" applyFont="1" applyFill="1" applyBorder="1" applyAlignment="1">
      <alignment horizontal="left" vertical="center"/>
    </xf>
    <xf numFmtId="164" fontId="8" fillId="5" borderId="1" xfId="0" applyNumberFormat="1" applyFont="1" applyFill="1" applyBorder="1" applyAlignment="1">
      <alignment horizontal="right" vertical="center"/>
    </xf>
    <xf numFmtId="0" fontId="5" fillId="6" borderId="1" xfId="0" applyFont="1" applyFill="1" applyBorder="1" applyAlignment="1">
      <alignment horizontal="left" vertical="center"/>
    </xf>
    <xf numFmtId="164" fontId="5" fillId="6" borderId="1" xfId="0" applyNumberFormat="1" applyFont="1" applyFill="1" applyBorder="1" applyAlignment="1">
      <alignment horizontal="right" vertical="center"/>
    </xf>
    <xf numFmtId="0" fontId="8" fillId="4" borderId="1" xfId="0" applyFont="1" applyFill="1" applyBorder="1" applyAlignment="1">
      <alignment horizontal="center" vertical="center"/>
    </xf>
    <xf numFmtId="0" fontId="8" fillId="4" borderId="1" xfId="0" applyFont="1" applyFill="1" applyBorder="1" applyAlignment="1">
      <alignment horizontal="left" vertical="center"/>
    </xf>
    <xf numFmtId="0" fontId="11" fillId="4" borderId="1" xfId="0" applyFont="1" applyFill="1" applyBorder="1" applyAlignment="1">
      <alignment horizontal="left" vertical="center"/>
    </xf>
    <xf numFmtId="165" fontId="8" fillId="4"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8" fillId="5" borderId="1" xfId="0" applyFont="1" applyFill="1" applyBorder="1" applyAlignment="1">
      <alignment horizontal="left" vertical="center"/>
    </xf>
    <xf numFmtId="165" fontId="8" fillId="5" borderId="1" xfId="0" applyNumberFormat="1" applyFont="1" applyFill="1" applyBorder="1" applyAlignment="1">
      <alignment horizontal="center" vertical="center"/>
    </xf>
    <xf numFmtId="0" fontId="11" fillId="5" borderId="1" xfId="0" applyFont="1" applyFill="1" applyBorder="1" applyAlignment="1">
      <alignment horizontal="left" vertical="center"/>
    </xf>
    <xf numFmtId="0" fontId="12" fillId="4" borderId="1" xfId="0" applyFont="1" applyFill="1" applyBorder="1" applyAlignment="1">
      <alignment horizontal="left" vertical="center"/>
    </xf>
    <xf numFmtId="164" fontId="13" fillId="4" borderId="1" xfId="0" applyNumberFormat="1" applyFont="1" applyFill="1" applyBorder="1" applyAlignment="1">
      <alignment horizontal="right" vertical="center"/>
    </xf>
    <xf numFmtId="166" fontId="5" fillId="4"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0" fontId="6" fillId="2" borderId="1" xfId="0" applyFont="1" applyFill="1" applyBorder="1" applyAlignment="1">
      <alignment horizontal="center" vertical="center" wrapText="1"/>
    </xf>
    <xf numFmtId="164" fontId="12" fillId="4" borderId="1" xfId="0" applyNumberFormat="1" applyFont="1" applyFill="1" applyBorder="1" applyAlignment="1">
      <alignment horizontal="right" vertical="center"/>
    </xf>
    <xf numFmtId="164" fontId="16" fillId="4" borderId="1" xfId="0" applyNumberFormat="1" applyFont="1" applyFill="1" applyBorder="1" applyAlignment="1">
      <alignment horizontal="right" vertical="center"/>
    </xf>
    <xf numFmtId="164" fontId="5" fillId="4" borderId="1" xfId="0" applyNumberFormat="1" applyFont="1" applyFill="1" applyBorder="1" applyAlignment="1">
      <alignment horizontal="right" vertical="center"/>
    </xf>
    <xf numFmtId="164" fontId="17" fillId="5" borderId="1" xfId="0" applyNumberFormat="1" applyFont="1" applyFill="1" applyBorder="1" applyAlignment="1">
      <alignment horizontal="right" vertical="center"/>
    </xf>
    <xf numFmtId="164" fontId="16" fillId="5" borderId="1" xfId="0" applyNumberFormat="1" applyFont="1" applyFill="1" applyBorder="1" applyAlignment="1">
      <alignment horizontal="right" vertical="center"/>
    </xf>
    <xf numFmtId="164" fontId="5" fillId="5" borderId="1" xfId="0" applyNumberFormat="1" applyFont="1" applyFill="1" applyBorder="1" applyAlignment="1">
      <alignment horizontal="right" vertical="center"/>
    </xf>
    <xf numFmtId="164" fontId="12" fillId="5" borderId="1" xfId="0" applyNumberFormat="1" applyFont="1" applyFill="1" applyBorder="1" applyAlignment="1">
      <alignment horizontal="right" vertical="center"/>
    </xf>
    <xf numFmtId="164" fontId="17" fillId="4" borderId="1" xfId="0" applyNumberFormat="1" applyFont="1" applyFill="1" applyBorder="1" applyAlignment="1">
      <alignment horizontal="right" vertical="center"/>
    </xf>
    <xf numFmtId="0" fontId="12" fillId="4" borderId="1" xfId="0" applyFont="1" applyFill="1" applyBorder="1" applyAlignment="1">
      <alignment horizontal="center" vertical="center"/>
    </xf>
    <xf numFmtId="0" fontId="18" fillId="5" borderId="1" xfId="0" applyFont="1" applyFill="1" applyBorder="1" applyAlignment="1">
      <alignment horizontal="center" vertical="center"/>
    </xf>
    <xf numFmtId="0" fontId="18" fillId="4" borderId="1" xfId="0" applyFont="1" applyFill="1" applyBorder="1" applyAlignment="1">
      <alignment horizontal="center" vertical="center"/>
    </xf>
    <xf numFmtId="0" fontId="8" fillId="6" borderId="1" xfId="0" applyFont="1" applyFill="1" applyBorder="1" applyAlignment="1">
      <alignment horizontal="right" vertical="center"/>
    </xf>
    <xf numFmtId="0" fontId="8" fillId="4" borderId="1" xfId="0" applyFont="1" applyFill="1" applyBorder="1" applyAlignment="1">
      <alignment horizontal="right" vertical="center"/>
    </xf>
    <xf numFmtId="0" fontId="8" fillId="5" borderId="1" xfId="0" applyFont="1" applyFill="1" applyBorder="1" applyAlignment="1">
      <alignment horizontal="right" vertical="center"/>
    </xf>
    <xf numFmtId="0" fontId="7" fillId="4" borderId="1" xfId="0" applyFont="1" applyFill="1" applyBorder="1" applyAlignment="1">
      <alignment horizontal="center" vertical="center"/>
    </xf>
    <xf numFmtId="167" fontId="8" fillId="4" borderId="1" xfId="0" applyNumberFormat="1" applyFont="1" applyFill="1" applyBorder="1" applyAlignment="1">
      <alignment horizontal="right" vertical="center"/>
    </xf>
    <xf numFmtId="0" fontId="7" fillId="5" borderId="1" xfId="0" applyFont="1" applyFill="1" applyBorder="1" applyAlignment="1">
      <alignment horizontal="center" vertical="center"/>
    </xf>
    <xf numFmtId="167" fontId="8" fillId="5" borderId="1" xfId="0" applyNumberFormat="1" applyFont="1" applyFill="1" applyBorder="1" applyAlignment="1">
      <alignment horizontal="right" vertical="center"/>
    </xf>
    <xf numFmtId="168" fontId="8" fillId="4" borderId="1" xfId="0" applyNumberFormat="1" applyFont="1" applyFill="1" applyBorder="1" applyAlignment="1">
      <alignment horizontal="right" vertical="center"/>
    </xf>
    <xf numFmtId="168" fontId="8" fillId="5" borderId="1" xfId="0" applyNumberFormat="1" applyFont="1" applyFill="1" applyBorder="1" applyAlignment="1">
      <alignment horizontal="right" vertical="center"/>
    </xf>
    <xf numFmtId="164" fontId="12" fillId="6" borderId="1" xfId="0" applyNumberFormat="1" applyFont="1" applyFill="1" applyBorder="1" applyAlignment="1">
      <alignment horizontal="right" vertical="center"/>
    </xf>
    <xf numFmtId="165" fontId="7" fillId="4" borderId="1" xfId="0" applyNumberFormat="1" applyFont="1" applyFill="1" applyBorder="1" applyAlignment="1">
      <alignment horizontal="center" vertical="center"/>
    </xf>
    <xf numFmtId="165" fontId="7" fillId="5" borderId="1" xfId="0" applyNumberFormat="1" applyFont="1" applyFill="1" applyBorder="1" applyAlignment="1">
      <alignment horizontal="center" vertical="center"/>
    </xf>
    <xf numFmtId="169" fontId="16" fillId="5" borderId="1" xfId="0" applyNumberFormat="1" applyFont="1" applyFill="1" applyBorder="1" applyAlignment="1">
      <alignment horizontal="center" vertical="center"/>
    </xf>
    <xf numFmtId="169" fontId="16" fillId="4" borderId="1" xfId="0" applyNumberFormat="1" applyFont="1" applyFill="1" applyBorder="1" applyAlignment="1">
      <alignment horizontal="center" vertical="center"/>
    </xf>
    <xf numFmtId="169" fontId="13" fillId="4" borderId="1" xfId="0" applyNumberFormat="1" applyFont="1" applyFill="1" applyBorder="1" applyAlignment="1">
      <alignment horizontal="center" vertical="center"/>
    </xf>
    <xf numFmtId="169" fontId="13" fillId="5" borderId="1" xfId="0" applyNumberFormat="1" applyFont="1" applyFill="1" applyBorder="1" applyAlignment="1">
      <alignment horizontal="center" vertical="center"/>
    </xf>
    <xf numFmtId="164" fontId="5" fillId="10" borderId="1" xfId="0" applyNumberFormat="1" applyFont="1" applyFill="1" applyBorder="1" applyAlignment="1">
      <alignment horizontal="right"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164" fontId="13" fillId="4" borderId="2" xfId="0" applyNumberFormat="1" applyFont="1" applyFill="1" applyBorder="1" applyAlignment="1">
      <alignment horizontal="right" vertical="center"/>
    </xf>
    <xf numFmtId="164" fontId="17" fillId="4" borderId="3" xfId="0" applyNumberFormat="1" applyFont="1" applyFill="1" applyBorder="1" applyAlignment="1">
      <alignment horizontal="right" vertical="center"/>
    </xf>
    <xf numFmtId="0" fontId="6" fillId="7" borderId="4" xfId="0" applyFont="1" applyFill="1" applyBorder="1" applyAlignment="1">
      <alignment horizontal="center" vertical="center" wrapText="1"/>
    </xf>
    <xf numFmtId="164" fontId="13" fillId="5" borderId="2" xfId="0" applyNumberFormat="1" applyFont="1" applyFill="1" applyBorder="1" applyAlignment="1">
      <alignment horizontal="right" vertical="center"/>
    </xf>
    <xf numFmtId="164" fontId="17" fillId="5" borderId="3" xfId="0" applyNumberFormat="1" applyFont="1" applyFill="1" applyBorder="1" applyAlignment="1">
      <alignment horizontal="right" vertical="center"/>
    </xf>
    <xf numFmtId="164" fontId="16" fillId="8" borderId="4" xfId="0" applyNumberFormat="1" applyFont="1" applyFill="1" applyBorder="1" applyAlignment="1">
      <alignment horizontal="right" vertical="center"/>
    </xf>
    <xf numFmtId="164" fontId="16" fillId="9" borderId="4" xfId="0" applyNumberFormat="1" applyFont="1" applyFill="1" applyBorder="1" applyAlignment="1">
      <alignment horizontal="right" vertical="center"/>
    </xf>
    <xf numFmtId="164" fontId="12" fillId="4" borderId="3" xfId="0" applyNumberFormat="1" applyFont="1" applyFill="1" applyBorder="1" applyAlignment="1">
      <alignment horizontal="right" vertical="center"/>
    </xf>
    <xf numFmtId="164" fontId="5" fillId="6" borderId="2" xfId="0" applyNumberFormat="1" applyFont="1" applyFill="1" applyBorder="1" applyAlignment="1">
      <alignment horizontal="right" vertical="center"/>
    </xf>
    <xf numFmtId="164" fontId="5" fillId="6" borderId="3" xfId="0" applyNumberFormat="1" applyFont="1" applyFill="1" applyBorder="1" applyAlignment="1">
      <alignment horizontal="right" vertical="center"/>
    </xf>
  </cellXfs>
  <cellStyles count="1">
    <cellStyle name="Normal" xfId="0" builtinId="0"/>
  </cellStyles>
  <dxfs count="4">
    <dxf>
      <font>
        <b/>
        <i val="0"/>
        <color rgb="FF1A7A4A"/>
      </font>
    </dxf>
    <dxf>
      <font>
        <b/>
        <i val="0"/>
        <color rgb="FFC0392B"/>
      </font>
    </dxf>
    <dxf>
      <font>
        <b/>
        <i val="0"/>
        <color rgb="FF1A7A4A"/>
      </font>
    </dxf>
    <dxf>
      <font>
        <b/>
        <i val="0"/>
        <color rgb="FFC0392B"/>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A4A"/>
      <rgbColor rgb="FFCCCCCC"/>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D4780A"/>
      <rgbColor rgb="FF666666"/>
      <rgbColor rgb="FF969696"/>
      <rgbColor rgb="FF003366"/>
      <rgbColor rgb="FF339966"/>
      <rgbColor rgb="FF003300"/>
      <rgbColor rgb="FF444444"/>
      <rgbColor rgb="FFC0392B"/>
      <rgbColor rgb="FF993366"/>
      <rgbColor rgb="FF2E5090"/>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32F905-9BCC-4D07-9C27-DABDBF698EC9}">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2"/>
  <sheetViews>
    <sheetView showGridLines="0" topLeftCell="A5" zoomScaleNormal="100" workbookViewId="0">
      <selection activeCell="C12" sqref="C12:F12"/>
    </sheetView>
  </sheetViews>
  <sheetFormatPr defaultColWidth="8.6328125" defaultRowHeight="14.5" x14ac:dyDescent="0.35"/>
  <cols>
    <col min="1" max="1" width="3" customWidth="1"/>
    <col min="2" max="2" width="32" customWidth="1"/>
    <col min="3" max="6" width="22" customWidth="1"/>
    <col min="7" max="7" width="3" customWidth="1"/>
  </cols>
  <sheetData>
    <row r="1" spans="2:6" ht="7.5" customHeight="1" x14ac:dyDescent="0.35"/>
    <row r="2" spans="2:6" ht="39.75" customHeight="1" x14ac:dyDescent="0.35">
      <c r="B2" s="11" t="s">
        <v>0</v>
      </c>
      <c r="C2" s="11"/>
      <c r="D2" s="11"/>
      <c r="E2" s="11"/>
      <c r="F2" s="11"/>
    </row>
    <row r="3" spans="2:6" ht="24" customHeight="1" x14ac:dyDescent="0.35">
      <c r="B3" s="10" t="s">
        <v>1</v>
      </c>
      <c r="C3" s="10"/>
      <c r="D3" s="10"/>
      <c r="E3" s="10"/>
      <c r="F3" s="10"/>
    </row>
    <row r="4" spans="2:6" ht="18" customHeight="1" x14ac:dyDescent="0.35"/>
    <row r="5" spans="2:6" ht="15.75" customHeight="1" x14ac:dyDescent="0.35"/>
    <row r="6" spans="2:6" ht="9.75" customHeight="1" x14ac:dyDescent="0.35"/>
    <row r="7" spans="2:6" ht="15.75" customHeight="1" x14ac:dyDescent="0.35"/>
    <row r="8" spans="2:6" ht="21.75" customHeight="1" x14ac:dyDescent="0.35">
      <c r="B8" s="9" t="s">
        <v>2</v>
      </c>
      <c r="C8" s="9"/>
      <c r="D8" s="9"/>
      <c r="E8" s="9"/>
      <c r="F8" s="9"/>
    </row>
    <row r="9" spans="2:6" ht="18" customHeight="1" x14ac:dyDescent="0.35">
      <c r="B9" s="12" t="s">
        <v>3</v>
      </c>
      <c r="C9" s="8" t="s">
        <v>4</v>
      </c>
      <c r="D9" s="8"/>
      <c r="E9" s="8"/>
      <c r="F9" s="8"/>
    </row>
    <row r="10" spans="2:6" ht="18" customHeight="1" x14ac:dyDescent="0.35">
      <c r="B10" s="13" t="s">
        <v>5</v>
      </c>
      <c r="C10" s="7" t="s">
        <v>6</v>
      </c>
      <c r="D10" s="7"/>
      <c r="E10" s="7"/>
      <c r="F10" s="7"/>
    </row>
    <row r="11" spans="2:6" ht="18" customHeight="1" x14ac:dyDescent="0.35">
      <c r="B11" s="12" t="s">
        <v>7</v>
      </c>
      <c r="C11" s="8" t="s">
        <v>8</v>
      </c>
      <c r="D11" s="8"/>
      <c r="E11" s="8"/>
      <c r="F11" s="8"/>
    </row>
    <row r="12" spans="2:6" ht="18" customHeight="1" x14ac:dyDescent="0.35">
      <c r="B12" s="13" t="s">
        <v>9</v>
      </c>
      <c r="C12" s="7" t="s">
        <v>10</v>
      </c>
      <c r="D12" s="7"/>
      <c r="E12" s="7"/>
      <c r="F12" s="7"/>
    </row>
    <row r="13" spans="2:6" ht="18" customHeight="1" x14ac:dyDescent="0.35">
      <c r="B13" s="12" t="s">
        <v>11</v>
      </c>
      <c r="C13" s="8" t="s">
        <v>12</v>
      </c>
      <c r="D13" s="8"/>
      <c r="E13" s="8"/>
      <c r="F13" s="8"/>
    </row>
    <row r="14" spans="2:6" x14ac:dyDescent="0.35">
      <c r="B14" s="13" t="s">
        <v>13</v>
      </c>
      <c r="C14" s="7" t="s">
        <v>14</v>
      </c>
      <c r="D14" s="7"/>
      <c r="E14" s="7"/>
      <c r="F14" s="7"/>
    </row>
    <row r="16" spans="2:6" ht="21.75" customHeight="1" x14ac:dyDescent="0.35">
      <c r="B16" s="9" t="s">
        <v>15</v>
      </c>
      <c r="C16" s="9"/>
      <c r="D16" s="9"/>
      <c r="E16" s="9"/>
      <c r="F16" s="9"/>
    </row>
    <row r="17" spans="2:6" ht="18" customHeight="1" x14ac:dyDescent="0.35">
      <c r="B17" s="14" t="s">
        <v>16</v>
      </c>
      <c r="C17" s="14" t="s">
        <v>17</v>
      </c>
      <c r="D17" s="14" t="s">
        <v>18</v>
      </c>
      <c r="E17" s="14" t="s">
        <v>19</v>
      </c>
      <c r="F17" s="14" t="s">
        <v>20</v>
      </c>
    </row>
    <row r="18" spans="2:6" ht="18" customHeight="1" x14ac:dyDescent="0.35">
      <c r="B18" s="15" t="s">
        <v>21</v>
      </c>
      <c r="C18" s="16">
        <v>400000000</v>
      </c>
      <c r="D18" s="16">
        <v>375932875</v>
      </c>
      <c r="E18" s="16">
        <v>25000000</v>
      </c>
      <c r="F18" s="16">
        <f>C18-D18</f>
        <v>24067125</v>
      </c>
    </row>
    <row r="19" spans="2:6" ht="18" customHeight="1" x14ac:dyDescent="0.35">
      <c r="B19" s="17" t="s">
        <v>22</v>
      </c>
      <c r="C19" s="18">
        <v>200000000</v>
      </c>
      <c r="D19" s="18">
        <v>80000000</v>
      </c>
      <c r="E19" s="18">
        <v>0</v>
      </c>
      <c r="F19" s="18">
        <f>C19-D19</f>
        <v>120000000</v>
      </c>
    </row>
    <row r="20" spans="2:6" ht="19.5" customHeight="1" x14ac:dyDescent="0.35">
      <c r="B20" s="19" t="s">
        <v>23</v>
      </c>
      <c r="C20" s="20">
        <f>SUM(C18:C19)</f>
        <v>600000000</v>
      </c>
      <c r="D20" s="20">
        <f>SUM(D18:D19)</f>
        <v>455932875</v>
      </c>
      <c r="E20" s="20">
        <f>SUM(E18:E19)</f>
        <v>25000000</v>
      </c>
      <c r="F20" s="20">
        <f>SUM(F18:F19)</f>
        <v>144067125</v>
      </c>
    </row>
    <row r="21" spans="2:6" ht="18" customHeight="1" x14ac:dyDescent="0.35"/>
    <row r="22" spans="2:6" ht="19.5" customHeight="1" x14ac:dyDescent="0.35"/>
  </sheetData>
  <mergeCells count="10">
    <mergeCell ref="C11:F11"/>
    <mergeCell ref="C12:F12"/>
    <mergeCell ref="C13:F13"/>
    <mergeCell ref="C14:F14"/>
    <mergeCell ref="B16:F16"/>
    <mergeCell ref="B2:F2"/>
    <mergeCell ref="B3:F3"/>
    <mergeCell ref="B8:F8"/>
    <mergeCell ref="C9:F9"/>
    <mergeCell ref="C10:F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3"/>
  <sheetViews>
    <sheetView showGridLines="0" topLeftCell="B4" zoomScaleNormal="100" workbookViewId="0"/>
  </sheetViews>
  <sheetFormatPr defaultColWidth="8.6328125" defaultRowHeight="14.5" x14ac:dyDescent="0.35"/>
  <cols>
    <col min="1" max="1" width="3" customWidth="1"/>
    <col min="2" max="2" width="14" customWidth="1"/>
    <col min="3" max="3" width="30" customWidth="1"/>
    <col min="4" max="4" width="22" customWidth="1"/>
    <col min="5" max="5" width="20" customWidth="1"/>
    <col min="6" max="6" width="18" customWidth="1"/>
    <col min="7" max="7" width="10" customWidth="1"/>
    <col min="8" max="8" width="3" customWidth="1"/>
  </cols>
  <sheetData>
    <row r="2" spans="2:7" ht="36" customHeight="1" x14ac:dyDescent="0.35">
      <c r="B2" s="6" t="s">
        <v>24</v>
      </c>
      <c r="C2" s="6"/>
      <c r="D2" s="6"/>
      <c r="E2" s="6"/>
      <c r="F2" s="6"/>
      <c r="G2" s="6"/>
    </row>
    <row r="3" spans="2:7" ht="19.5" customHeight="1" x14ac:dyDescent="0.35">
      <c r="B3" s="5" t="s">
        <v>25</v>
      </c>
      <c r="C3" s="5"/>
      <c r="D3" s="5"/>
      <c r="E3" s="5"/>
      <c r="F3" s="5"/>
      <c r="G3" s="5"/>
    </row>
    <row r="5" spans="2:7" ht="19.5" customHeight="1" x14ac:dyDescent="0.35">
      <c r="B5" s="14" t="s">
        <v>26</v>
      </c>
      <c r="C5" s="14" t="s">
        <v>16</v>
      </c>
      <c r="D5" s="14" t="s">
        <v>27</v>
      </c>
      <c r="E5" s="14" t="s">
        <v>28</v>
      </c>
      <c r="F5" s="14" t="s">
        <v>29</v>
      </c>
      <c r="G5" s="14" t="s">
        <v>30</v>
      </c>
    </row>
    <row r="6" spans="2:7" ht="18" customHeight="1" x14ac:dyDescent="0.35">
      <c r="B6" s="21" t="s">
        <v>31</v>
      </c>
      <c r="C6" s="22" t="s">
        <v>21</v>
      </c>
      <c r="D6" s="23" t="s">
        <v>32</v>
      </c>
      <c r="E6" s="16">
        <v>1937775</v>
      </c>
      <c r="F6" s="21" t="s">
        <v>10</v>
      </c>
      <c r="G6" s="24">
        <v>1.1073</v>
      </c>
    </row>
    <row r="7" spans="2:7" ht="18" customHeight="1" x14ac:dyDescent="0.35">
      <c r="B7" s="25" t="s">
        <v>33</v>
      </c>
      <c r="C7" s="26" t="s">
        <v>21</v>
      </c>
      <c r="D7" s="26" t="s">
        <v>34</v>
      </c>
      <c r="E7" s="18">
        <v>55340475</v>
      </c>
      <c r="F7" s="25" t="s">
        <v>10</v>
      </c>
      <c r="G7" s="27">
        <v>1.0541</v>
      </c>
    </row>
    <row r="8" spans="2:7" ht="18" customHeight="1" x14ac:dyDescent="0.35">
      <c r="B8" s="21" t="s">
        <v>35</v>
      </c>
      <c r="C8" s="22" t="s">
        <v>21</v>
      </c>
      <c r="D8" s="23" t="s">
        <v>32</v>
      </c>
      <c r="E8" s="16">
        <v>1834000</v>
      </c>
      <c r="F8" s="21" t="s">
        <v>10</v>
      </c>
      <c r="G8" s="24">
        <v>1.048</v>
      </c>
    </row>
    <row r="9" spans="2:7" ht="18" customHeight="1" x14ac:dyDescent="0.35">
      <c r="B9" s="25" t="s">
        <v>36</v>
      </c>
      <c r="C9" s="26" t="s">
        <v>21</v>
      </c>
      <c r="D9" s="26" t="s">
        <v>34</v>
      </c>
      <c r="E9" s="18">
        <v>53644950</v>
      </c>
      <c r="F9" s="25" t="s">
        <v>10</v>
      </c>
      <c r="G9" s="27">
        <v>1.0218</v>
      </c>
    </row>
    <row r="10" spans="2:7" ht="18" customHeight="1" x14ac:dyDescent="0.35">
      <c r="B10" s="21" t="s">
        <v>37</v>
      </c>
      <c r="C10" s="22" t="s">
        <v>21</v>
      </c>
      <c r="D10" s="23" t="s">
        <v>32</v>
      </c>
      <c r="E10" s="16">
        <v>1714300</v>
      </c>
      <c r="F10" s="21" t="s">
        <v>10</v>
      </c>
      <c r="G10" s="24">
        <v>0.97960000000000003</v>
      </c>
    </row>
    <row r="11" spans="2:7" ht="18" customHeight="1" x14ac:dyDescent="0.35">
      <c r="B11" s="25" t="s">
        <v>38</v>
      </c>
      <c r="C11" s="26" t="s">
        <v>21</v>
      </c>
      <c r="D11" s="28" t="s">
        <v>32</v>
      </c>
      <c r="E11" s="18">
        <v>1873375</v>
      </c>
      <c r="F11" s="25" t="s">
        <v>10</v>
      </c>
      <c r="G11" s="27">
        <v>1.0705</v>
      </c>
    </row>
    <row r="12" spans="2:7" ht="18" customHeight="1" x14ac:dyDescent="0.35">
      <c r="B12" s="21" t="s">
        <v>39</v>
      </c>
      <c r="C12" s="22" t="s">
        <v>21</v>
      </c>
      <c r="D12" s="23" t="s">
        <v>32</v>
      </c>
      <c r="E12" s="16">
        <v>1905925</v>
      </c>
      <c r="F12" s="21" t="s">
        <v>10</v>
      </c>
      <c r="G12" s="24">
        <v>1.0891</v>
      </c>
    </row>
    <row r="13" spans="2:7" ht="18" customHeight="1" x14ac:dyDescent="0.35">
      <c r="B13" s="25" t="s">
        <v>40</v>
      </c>
      <c r="C13" s="26" t="s">
        <v>22</v>
      </c>
      <c r="D13" s="26" t="s">
        <v>34</v>
      </c>
      <c r="E13" s="18">
        <v>30000000</v>
      </c>
      <c r="F13" s="25" t="s">
        <v>10</v>
      </c>
      <c r="G13" s="27">
        <v>1</v>
      </c>
    </row>
    <row r="14" spans="2:7" ht="18" customHeight="1" x14ac:dyDescent="0.35">
      <c r="B14" s="21" t="s">
        <v>41</v>
      </c>
      <c r="C14" s="22" t="s">
        <v>22</v>
      </c>
      <c r="D14" s="23" t="s">
        <v>32</v>
      </c>
      <c r="E14" s="16">
        <v>1000000</v>
      </c>
      <c r="F14" s="21" t="s">
        <v>10</v>
      </c>
      <c r="G14" s="24">
        <v>1</v>
      </c>
    </row>
    <row r="15" spans="2:7" ht="18" customHeight="1" x14ac:dyDescent="0.35">
      <c r="B15" s="25" t="s">
        <v>41</v>
      </c>
      <c r="C15" s="26" t="s">
        <v>21</v>
      </c>
      <c r="D15" s="28" t="s">
        <v>32</v>
      </c>
      <c r="E15" s="18">
        <v>0</v>
      </c>
      <c r="F15" s="25" t="s">
        <v>10</v>
      </c>
      <c r="G15" s="27">
        <v>1</v>
      </c>
    </row>
    <row r="16" spans="2:7" ht="18" customHeight="1" x14ac:dyDescent="0.35">
      <c r="B16" s="21" t="s">
        <v>42</v>
      </c>
      <c r="C16" s="22" t="s">
        <v>21</v>
      </c>
      <c r="D16" s="22" t="s">
        <v>34</v>
      </c>
      <c r="E16" s="16">
        <v>96328750</v>
      </c>
      <c r="F16" s="21" t="s">
        <v>10</v>
      </c>
      <c r="G16" s="24">
        <v>1.1009</v>
      </c>
    </row>
    <row r="17" spans="2:7" ht="18" customHeight="1" x14ac:dyDescent="0.35">
      <c r="B17" s="25" t="s">
        <v>43</v>
      </c>
      <c r="C17" s="26" t="s">
        <v>22</v>
      </c>
      <c r="D17" s="26" t="s">
        <v>34</v>
      </c>
      <c r="E17" s="18">
        <v>50000000</v>
      </c>
      <c r="F17" s="25" t="s">
        <v>10</v>
      </c>
      <c r="G17" s="27">
        <v>1</v>
      </c>
    </row>
    <row r="18" spans="2:7" ht="18" customHeight="1" x14ac:dyDescent="0.35">
      <c r="B18" s="21" t="s">
        <v>44</v>
      </c>
      <c r="C18" s="22" t="s">
        <v>21</v>
      </c>
      <c r="D18" s="23" t="s">
        <v>32</v>
      </c>
      <c r="E18" s="16">
        <v>1850275</v>
      </c>
      <c r="F18" s="21" t="s">
        <v>10</v>
      </c>
      <c r="G18" s="24">
        <v>1.0572999999999999</v>
      </c>
    </row>
    <row r="19" spans="2:7" ht="18" customHeight="1" x14ac:dyDescent="0.35">
      <c r="B19" s="25" t="s">
        <v>45</v>
      </c>
      <c r="C19" s="26" t="s">
        <v>21</v>
      </c>
      <c r="D19" s="26" t="s">
        <v>34</v>
      </c>
      <c r="E19" s="18">
        <v>170618700</v>
      </c>
      <c r="F19" s="25" t="s">
        <v>10</v>
      </c>
      <c r="G19" s="27">
        <v>1.0835999999999999</v>
      </c>
    </row>
    <row r="20" spans="2:7" ht="18" customHeight="1" x14ac:dyDescent="0.35">
      <c r="B20" s="21" t="s">
        <v>46</v>
      </c>
      <c r="C20" s="22" t="s">
        <v>22</v>
      </c>
      <c r="D20" s="23" t="s">
        <v>32</v>
      </c>
      <c r="E20" s="16">
        <v>1000000</v>
      </c>
      <c r="F20" s="21" t="s">
        <v>10</v>
      </c>
      <c r="G20" s="24">
        <v>1</v>
      </c>
    </row>
    <row r="21" spans="2:7" ht="18" customHeight="1" x14ac:dyDescent="0.35">
      <c r="B21" s="25" t="s">
        <v>46</v>
      </c>
      <c r="C21" s="26" t="s">
        <v>21</v>
      </c>
      <c r="D21" s="28" t="s">
        <v>32</v>
      </c>
      <c r="E21" s="18">
        <v>1888075</v>
      </c>
      <c r="F21" s="25" t="s">
        <v>10</v>
      </c>
      <c r="G21" s="27">
        <v>1.0789</v>
      </c>
    </row>
    <row r="22" spans="2:7" ht="18" customHeight="1" x14ac:dyDescent="0.35">
      <c r="B22" s="21" t="s">
        <v>47</v>
      </c>
      <c r="C22" s="22" t="s">
        <v>21</v>
      </c>
      <c r="D22" s="29" t="s">
        <v>48</v>
      </c>
      <c r="E22" s="30">
        <v>25000000</v>
      </c>
      <c r="F22" s="21" t="s">
        <v>49</v>
      </c>
      <c r="G22" s="24">
        <v>1</v>
      </c>
    </row>
    <row r="23" spans="2:7" ht="19.5" customHeight="1" x14ac:dyDescent="0.35">
      <c r="B23" s="4" t="s">
        <v>50</v>
      </c>
      <c r="C23" s="4"/>
      <c r="D23" s="4"/>
      <c r="E23" s="20">
        <v>455932875</v>
      </c>
    </row>
  </sheetData>
  <mergeCells count="3">
    <mergeCell ref="B2:G2"/>
    <mergeCell ref="B3:G3"/>
    <mergeCell ref="B23:D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
  <sheetViews>
    <sheetView showGridLines="0" zoomScaleNormal="100" workbookViewId="0">
      <selection activeCell="E11" sqref="E11"/>
    </sheetView>
  </sheetViews>
  <sheetFormatPr defaultColWidth="8.6328125" defaultRowHeight="14.5" x14ac:dyDescent="0.35"/>
  <cols>
    <col min="1" max="1" width="3" customWidth="1"/>
    <col min="2" max="2" width="30" customWidth="1"/>
    <col min="3" max="6" width="20" customWidth="1"/>
    <col min="7" max="7" width="3" customWidth="1"/>
  </cols>
  <sheetData>
    <row r="2" spans="2:6" ht="36" customHeight="1" x14ac:dyDescent="0.35">
      <c r="B2" s="6" t="s">
        <v>51</v>
      </c>
      <c r="C2" s="6"/>
      <c r="D2" s="6"/>
      <c r="E2" s="6"/>
      <c r="F2" s="6"/>
    </row>
    <row r="4" spans="2:6" ht="19.5" customHeight="1" x14ac:dyDescent="0.35">
      <c r="B4" s="14" t="s">
        <v>16</v>
      </c>
      <c r="C4" s="14" t="s">
        <v>52</v>
      </c>
      <c r="D4" s="14" t="s">
        <v>18</v>
      </c>
      <c r="E4" s="14" t="s">
        <v>19</v>
      </c>
      <c r="F4" s="14" t="s">
        <v>53</v>
      </c>
    </row>
    <row r="5" spans="2:6" ht="18" customHeight="1" x14ac:dyDescent="0.35">
      <c r="B5" s="15" t="s">
        <v>21</v>
      </c>
      <c r="C5" s="16">
        <f>'LP Statement'!C18</f>
        <v>400000000</v>
      </c>
      <c r="D5" s="16">
        <v>375932875</v>
      </c>
      <c r="E5" s="16">
        <v>25000000</v>
      </c>
      <c r="F5" s="31">
        <v>6.6501233764139397E-2</v>
      </c>
    </row>
    <row r="6" spans="2:6" ht="18" customHeight="1" x14ac:dyDescent="0.35">
      <c r="B6" s="17" t="s">
        <v>22</v>
      </c>
      <c r="C6" s="18">
        <f>'LP Statement'!C19</f>
        <v>200000000</v>
      </c>
      <c r="D6" s="18">
        <v>80000000</v>
      </c>
      <c r="E6" s="18">
        <v>0</v>
      </c>
      <c r="F6" s="32">
        <v>0</v>
      </c>
    </row>
    <row r="9" spans="2:6" ht="30" customHeight="1" x14ac:dyDescent="0.35">
      <c r="B9" s="3" t="s">
        <v>54</v>
      </c>
      <c r="C9" s="3"/>
      <c r="D9" s="3"/>
      <c r="E9" s="3"/>
      <c r="F9" s="3"/>
    </row>
  </sheetData>
  <mergeCells count="2">
    <mergeCell ref="B2:F2"/>
    <mergeCell ref="B9:F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4"/>
  <sheetViews>
    <sheetView showGridLines="0" topLeftCell="A8" zoomScale="86" zoomScaleNormal="100" workbookViewId="0">
      <selection activeCell="E21" sqref="E21"/>
    </sheetView>
  </sheetViews>
  <sheetFormatPr defaultColWidth="8.6328125" defaultRowHeight="14.5" x14ac:dyDescent="0.35"/>
  <cols>
    <col min="1" max="1" width="3" customWidth="1"/>
    <col min="2" max="2" width="26" customWidth="1"/>
    <col min="3" max="7" width="18" customWidth="1"/>
    <col min="8" max="8" width="3" customWidth="1"/>
  </cols>
  <sheetData>
    <row r="2" spans="2:7" ht="37.5" customHeight="1" x14ac:dyDescent="0.35">
      <c r="B2" s="6" t="s">
        <v>55</v>
      </c>
      <c r="C2" s="6"/>
      <c r="D2" s="6"/>
      <c r="E2" s="6"/>
      <c r="F2" s="6"/>
      <c r="G2" s="6"/>
    </row>
    <row r="3" spans="2:7" ht="19.5" customHeight="1" x14ac:dyDescent="0.35">
      <c r="B3" s="5" t="s">
        <v>56</v>
      </c>
      <c r="C3" s="5"/>
      <c r="D3" s="5"/>
      <c r="E3" s="5"/>
      <c r="F3" s="5"/>
      <c r="G3" s="5"/>
    </row>
    <row r="5" spans="2:7" ht="21.75" customHeight="1" x14ac:dyDescent="0.35">
      <c r="B5" s="2" t="s">
        <v>21</v>
      </c>
      <c r="C5" s="2"/>
      <c r="D5" s="2"/>
      <c r="E5" s="2"/>
      <c r="F5" s="2"/>
      <c r="G5" s="2"/>
    </row>
    <row r="6" spans="2:7" ht="31.5" customHeight="1" x14ac:dyDescent="0.35">
      <c r="B6" s="33" t="s">
        <v>57</v>
      </c>
      <c r="C6" s="33" t="s">
        <v>58</v>
      </c>
      <c r="D6" s="33" t="s">
        <v>59</v>
      </c>
      <c r="E6" s="33" t="s">
        <v>148</v>
      </c>
      <c r="F6" s="33" t="s">
        <v>60</v>
      </c>
      <c r="G6" s="33" t="s">
        <v>61</v>
      </c>
    </row>
    <row r="7" spans="2:7" ht="18" customHeight="1" x14ac:dyDescent="0.35">
      <c r="B7" s="21" t="s">
        <v>139</v>
      </c>
      <c r="C7" s="16">
        <v>0</v>
      </c>
      <c r="D7" s="16">
        <v>55340475</v>
      </c>
      <c r="E7" s="34">
        <f>G7-C7-D7-F7</f>
        <v>198431300</v>
      </c>
      <c r="F7" s="35">
        <v>-3771775</v>
      </c>
      <c r="G7" s="36">
        <v>250000000</v>
      </c>
    </row>
    <row r="8" spans="2:7" ht="18" customHeight="1" x14ac:dyDescent="0.35">
      <c r="B8" s="25" t="s">
        <v>140</v>
      </c>
      <c r="C8" s="18">
        <f>G7</f>
        <v>250000000</v>
      </c>
      <c r="D8" s="18">
        <v>53644950</v>
      </c>
      <c r="E8" s="37">
        <f>G8-C8-D8-F8</f>
        <v>-59930650</v>
      </c>
      <c r="F8" s="38">
        <v>-1714300</v>
      </c>
      <c r="G8" s="39">
        <v>242000000</v>
      </c>
    </row>
    <row r="9" spans="2:7" ht="18" customHeight="1" x14ac:dyDescent="0.35">
      <c r="B9" s="21" t="s">
        <v>141</v>
      </c>
      <c r="C9" s="16">
        <f>G8</f>
        <v>242000000</v>
      </c>
      <c r="D9" s="16">
        <v>0</v>
      </c>
      <c r="E9" s="34">
        <f>G9-C9-D9-F9</f>
        <v>17921548</v>
      </c>
      <c r="F9" s="35">
        <v>-1921548</v>
      </c>
      <c r="G9" s="36">
        <v>258000000</v>
      </c>
    </row>
    <row r="10" spans="2:7" ht="18" customHeight="1" x14ac:dyDescent="0.35">
      <c r="B10" s="25" t="s">
        <v>142</v>
      </c>
      <c r="C10" s="18">
        <f>G9</f>
        <v>258000000</v>
      </c>
      <c r="D10" s="18">
        <v>0</v>
      </c>
      <c r="E10" s="40">
        <f>G10-C10-D10-F10</f>
        <v>25905925</v>
      </c>
      <c r="F10" s="38">
        <v>-1905925</v>
      </c>
      <c r="G10" s="39">
        <v>282000000</v>
      </c>
    </row>
    <row r="11" spans="2:7" ht="18" customHeight="1" x14ac:dyDescent="0.35">
      <c r="B11" s="21" t="s">
        <v>143</v>
      </c>
      <c r="C11" s="16">
        <f>G10</f>
        <v>282000000</v>
      </c>
      <c r="D11" s="16">
        <v>0</v>
      </c>
      <c r="E11" s="34">
        <f>G11-C11-D11-F11</f>
        <v>316905925</v>
      </c>
      <c r="F11" s="35">
        <v>-1905925</v>
      </c>
      <c r="G11" s="36">
        <v>597000000</v>
      </c>
    </row>
    <row r="12" spans="2:7" ht="18" customHeight="1" x14ac:dyDescent="0.35">
      <c r="B12" s="25" t="s">
        <v>144</v>
      </c>
      <c r="C12" s="18">
        <f>G11</f>
        <v>597000000</v>
      </c>
      <c r="D12" s="18">
        <v>96328750</v>
      </c>
      <c r="E12" s="37">
        <f>G12-C12-D12-F12</f>
        <v>-70478475</v>
      </c>
      <c r="F12" s="38">
        <v>-1850275</v>
      </c>
      <c r="G12" s="39">
        <v>621000000</v>
      </c>
    </row>
    <row r="13" spans="2:7" ht="18" customHeight="1" x14ac:dyDescent="0.35">
      <c r="B13" s="21" t="s">
        <v>145</v>
      </c>
      <c r="C13" s="16">
        <f>G12</f>
        <v>621000000</v>
      </c>
      <c r="D13" s="16">
        <v>0</v>
      </c>
      <c r="E13" s="34">
        <f>G13-C13-D13-F13</f>
        <v>38000000</v>
      </c>
      <c r="F13" s="35">
        <v>0</v>
      </c>
      <c r="G13" s="36">
        <v>659000000</v>
      </c>
    </row>
    <row r="14" spans="2:7" ht="18" customHeight="1" x14ac:dyDescent="0.35">
      <c r="B14" s="25" t="s">
        <v>146</v>
      </c>
      <c r="C14" s="18">
        <f>G13</f>
        <v>659000000</v>
      </c>
      <c r="D14" s="18">
        <v>170618700</v>
      </c>
      <c r="E14" s="37">
        <f>G14-C14-D14-F14</f>
        <v>-148730625</v>
      </c>
      <c r="F14" s="38">
        <v>-1888075</v>
      </c>
      <c r="G14" s="39">
        <v>679000000</v>
      </c>
    </row>
    <row r="15" spans="2:7" ht="18" customHeight="1" x14ac:dyDescent="0.35">
      <c r="B15" s="21" t="s">
        <v>147</v>
      </c>
      <c r="C15" s="16">
        <f>G14</f>
        <v>679000000</v>
      </c>
      <c r="D15" s="16">
        <v>0</v>
      </c>
      <c r="E15" s="34">
        <f>G15-C15-D15-F15</f>
        <v>30888075</v>
      </c>
      <c r="F15" s="35">
        <v>-1888075</v>
      </c>
      <c r="G15" s="36">
        <v>708000000</v>
      </c>
    </row>
    <row r="18" spans="2:7" ht="21.75" customHeight="1" x14ac:dyDescent="0.35">
      <c r="B18" s="2" t="s">
        <v>22</v>
      </c>
      <c r="C18" s="2"/>
      <c r="D18" s="2"/>
      <c r="E18" s="2"/>
      <c r="F18" s="2"/>
      <c r="G18" s="2"/>
    </row>
    <row r="19" spans="2:7" ht="31.5" customHeight="1" x14ac:dyDescent="0.35">
      <c r="B19" s="33" t="s">
        <v>57</v>
      </c>
      <c r="C19" s="33" t="s">
        <v>58</v>
      </c>
      <c r="D19" s="33" t="s">
        <v>59</v>
      </c>
      <c r="E19" s="33" t="s">
        <v>148</v>
      </c>
      <c r="F19" s="33" t="s">
        <v>60</v>
      </c>
      <c r="G19" s="33" t="s">
        <v>61</v>
      </c>
    </row>
    <row r="20" spans="2:7" ht="18" customHeight="1" x14ac:dyDescent="0.35">
      <c r="B20" s="21" t="s">
        <v>143</v>
      </c>
      <c r="C20" s="16">
        <v>0</v>
      </c>
      <c r="D20" s="16">
        <v>30000000</v>
      </c>
      <c r="E20" s="34">
        <f>G20-C20-D20-F20</f>
        <v>88000000</v>
      </c>
      <c r="F20" s="35">
        <v>-1000000</v>
      </c>
      <c r="G20" s="36">
        <v>117000000</v>
      </c>
    </row>
    <row r="21" spans="2:7" ht="18" customHeight="1" x14ac:dyDescent="0.35">
      <c r="B21" s="25" t="s">
        <v>144</v>
      </c>
      <c r="C21" s="18">
        <f>G20</f>
        <v>117000000</v>
      </c>
      <c r="D21" s="18">
        <v>50000000</v>
      </c>
      <c r="E21" s="40">
        <f>G21-C21-D21-F21</f>
        <v>24000000</v>
      </c>
      <c r="F21" s="38">
        <v>0</v>
      </c>
      <c r="G21" s="39">
        <v>191000000</v>
      </c>
    </row>
    <row r="22" spans="2:7" ht="18" customHeight="1" x14ac:dyDescent="0.35">
      <c r="B22" s="21" t="s">
        <v>145</v>
      </c>
      <c r="C22" s="16">
        <f>G21</f>
        <v>191000000</v>
      </c>
      <c r="D22" s="16">
        <v>0</v>
      </c>
      <c r="E22" s="34">
        <f>G22-C22-D22-F22</f>
        <v>23000000</v>
      </c>
      <c r="F22" s="35">
        <v>0</v>
      </c>
      <c r="G22" s="36">
        <v>214000000</v>
      </c>
    </row>
    <row r="23" spans="2:7" ht="18" customHeight="1" x14ac:dyDescent="0.35">
      <c r="B23" s="25" t="s">
        <v>146</v>
      </c>
      <c r="C23" s="18">
        <f>G22</f>
        <v>214000000</v>
      </c>
      <c r="D23" s="18">
        <v>0</v>
      </c>
      <c r="E23" s="40">
        <f>G23-C23-D23-F23</f>
        <v>25000000</v>
      </c>
      <c r="F23" s="38">
        <v>-1000000</v>
      </c>
      <c r="G23" s="39">
        <v>238000000</v>
      </c>
    </row>
    <row r="24" spans="2:7" ht="18" customHeight="1" x14ac:dyDescent="0.35">
      <c r="B24" s="21" t="s">
        <v>147</v>
      </c>
      <c r="C24" s="16">
        <f>G23</f>
        <v>238000000</v>
      </c>
      <c r="D24" s="16">
        <v>0</v>
      </c>
      <c r="E24" s="34">
        <f>G24-C24-D24-F24</f>
        <v>20500000</v>
      </c>
      <c r="F24" s="35">
        <v>-1000000</v>
      </c>
      <c r="G24" s="36">
        <v>257500000</v>
      </c>
    </row>
  </sheetData>
  <mergeCells count="4">
    <mergeCell ref="B2:G2"/>
    <mergeCell ref="B3:G3"/>
    <mergeCell ref="B5:G5"/>
    <mergeCell ref="B18:G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7"/>
  <sheetViews>
    <sheetView showGridLines="0" zoomScale="88" zoomScaleNormal="100" workbookViewId="0">
      <selection activeCell="H8" sqref="H8"/>
    </sheetView>
  </sheetViews>
  <sheetFormatPr defaultColWidth="8.6328125" defaultRowHeight="14.5" x14ac:dyDescent="0.35"/>
  <cols>
    <col min="1" max="1" width="3" customWidth="1"/>
    <col min="2" max="2" width="22" customWidth="1"/>
    <col min="3" max="8" width="18" customWidth="1"/>
    <col min="9" max="9" width="3" customWidth="1"/>
  </cols>
  <sheetData>
    <row r="2" spans="2:8" ht="37.5" customHeight="1" x14ac:dyDescent="0.35">
      <c r="B2" s="6" t="s">
        <v>62</v>
      </c>
      <c r="C2" s="6"/>
      <c r="D2" s="6"/>
      <c r="E2" s="6"/>
      <c r="F2" s="6"/>
      <c r="G2" s="6"/>
      <c r="H2" s="6"/>
    </row>
    <row r="3" spans="2:8" ht="19.5" customHeight="1" x14ac:dyDescent="0.35">
      <c r="B3" s="5" t="s">
        <v>63</v>
      </c>
      <c r="C3" s="5"/>
      <c r="D3" s="5"/>
      <c r="E3" s="5"/>
      <c r="F3" s="5"/>
      <c r="G3" s="5"/>
      <c r="H3" s="5"/>
    </row>
    <row r="5" spans="2:8" ht="31.5" customHeight="1" x14ac:dyDescent="0.35">
      <c r="B5" s="33" t="s">
        <v>57</v>
      </c>
      <c r="C5" s="33" t="s">
        <v>59</v>
      </c>
      <c r="D5" s="62" t="s">
        <v>64</v>
      </c>
      <c r="E5" s="66" t="s">
        <v>60</v>
      </c>
      <c r="F5" s="63" t="s">
        <v>65</v>
      </c>
      <c r="G5" s="33" t="s">
        <v>66</v>
      </c>
      <c r="H5" s="33" t="s">
        <v>67</v>
      </c>
    </row>
    <row r="6" spans="2:8" ht="18" customHeight="1" x14ac:dyDescent="0.35">
      <c r="B6" s="21" t="s">
        <v>68</v>
      </c>
      <c r="C6" s="35">
        <v>0</v>
      </c>
      <c r="D6" s="64">
        <v>0</v>
      </c>
      <c r="E6" s="69">
        <f>C6-F6</f>
        <v>1937775</v>
      </c>
      <c r="F6" s="65">
        <v>-1937775</v>
      </c>
      <c r="G6" s="34">
        <f>F6</f>
        <v>-1937775</v>
      </c>
      <c r="H6" s="42" t="str">
        <f>IF(G6&lt;0,"In J-Curve","Above Water")</f>
        <v>In J-Curve</v>
      </c>
    </row>
    <row r="7" spans="2:8" ht="18" customHeight="1" x14ac:dyDescent="0.35">
      <c r="B7" s="25" t="s">
        <v>69</v>
      </c>
      <c r="C7" s="38">
        <v>-55340475</v>
      </c>
      <c r="D7" s="67">
        <v>0</v>
      </c>
      <c r="E7" s="70">
        <f>C7-F7</f>
        <v>1834000</v>
      </c>
      <c r="F7" s="68">
        <v>-57174475</v>
      </c>
      <c r="G7" s="37">
        <f>G6+F7</f>
        <v>-59112250</v>
      </c>
      <c r="H7" s="43" t="str">
        <f>IF(G7&lt;0,"In J-Curve","Above Water")</f>
        <v>In J-Curve</v>
      </c>
    </row>
    <row r="8" spans="2:8" ht="18" customHeight="1" x14ac:dyDescent="0.35">
      <c r="B8" s="21" t="s">
        <v>70</v>
      </c>
      <c r="C8" s="35">
        <v>-53644950</v>
      </c>
      <c r="D8" s="64">
        <v>0</v>
      </c>
      <c r="E8" s="69">
        <f>C8-F8</f>
        <v>1714300</v>
      </c>
      <c r="F8" s="65">
        <v>-55359250</v>
      </c>
      <c r="G8" s="41">
        <f>G7+F8</f>
        <v>-114471500</v>
      </c>
      <c r="H8" s="44" t="str">
        <f>IF(G8&lt;0,"In J-Curve","Above Water")</f>
        <v>In J-Curve</v>
      </c>
    </row>
    <row r="9" spans="2:8" ht="18" customHeight="1" x14ac:dyDescent="0.35">
      <c r="B9" s="25" t="s">
        <v>71</v>
      </c>
      <c r="C9" s="38">
        <v>0</v>
      </c>
      <c r="D9" s="67">
        <v>0</v>
      </c>
      <c r="E9" s="70">
        <f>C9-F9</f>
        <v>1873375</v>
      </c>
      <c r="F9" s="68">
        <v>-1873375</v>
      </c>
      <c r="G9" s="37">
        <f>G8+F9</f>
        <v>-116344875</v>
      </c>
      <c r="H9" s="43" t="str">
        <f>IF(G9&lt;0,"In J-Curve","Above Water")</f>
        <v>In J-Curve</v>
      </c>
    </row>
    <row r="10" spans="2:8" ht="18" customHeight="1" x14ac:dyDescent="0.35">
      <c r="B10" s="21" t="s">
        <v>72</v>
      </c>
      <c r="C10" s="35">
        <v>0</v>
      </c>
      <c r="D10" s="64">
        <v>0</v>
      </c>
      <c r="E10" s="69">
        <f>C10-F10</f>
        <v>1905925</v>
      </c>
      <c r="F10" s="65">
        <v>-1905925</v>
      </c>
      <c r="G10" s="41">
        <f>G9+F10</f>
        <v>-118250800</v>
      </c>
      <c r="H10" s="44" t="str">
        <f>IF(G10&lt;0,"In J-Curve","Above Water")</f>
        <v>In J-Curve</v>
      </c>
    </row>
    <row r="11" spans="2:8" ht="18" customHeight="1" x14ac:dyDescent="0.35">
      <c r="B11" s="25" t="s">
        <v>73</v>
      </c>
      <c r="C11" s="38">
        <v>-30000000</v>
      </c>
      <c r="D11" s="67">
        <v>0</v>
      </c>
      <c r="E11" s="70">
        <f>C11-F11</f>
        <v>1000000</v>
      </c>
      <c r="F11" s="68">
        <v>-31000000</v>
      </c>
      <c r="G11" s="37">
        <f>G10+F11</f>
        <v>-149250800</v>
      </c>
      <c r="H11" s="43" t="str">
        <f>IF(G11&lt;0,"In J-Curve","Above Water")</f>
        <v>In J-Curve</v>
      </c>
    </row>
    <row r="12" spans="2:8" ht="18" customHeight="1" x14ac:dyDescent="0.35">
      <c r="B12" s="21" t="s">
        <v>74</v>
      </c>
      <c r="C12" s="35">
        <v>-146328750</v>
      </c>
      <c r="D12" s="64">
        <v>0</v>
      </c>
      <c r="E12" s="69">
        <f>C12-F12</f>
        <v>1850275</v>
      </c>
      <c r="F12" s="65">
        <v>-148179025</v>
      </c>
      <c r="G12" s="41">
        <f>G11+F12</f>
        <v>-297429825</v>
      </c>
      <c r="H12" s="44" t="str">
        <f>IF(G12&lt;0,"In J-Curve","Above Water")</f>
        <v>In J-Curve</v>
      </c>
    </row>
    <row r="13" spans="2:8" ht="18" customHeight="1" x14ac:dyDescent="0.35">
      <c r="B13" s="25" t="s">
        <v>75</v>
      </c>
      <c r="C13" s="38">
        <v>-170618700</v>
      </c>
      <c r="D13" s="67">
        <v>0</v>
      </c>
      <c r="E13" s="70">
        <f>C13-F13</f>
        <v>2888075</v>
      </c>
      <c r="F13" s="68">
        <v>-173506775</v>
      </c>
      <c r="G13" s="37">
        <f>G12+F13</f>
        <v>-470936600</v>
      </c>
      <c r="H13" s="43" t="str">
        <f>IF(G13&lt;0,"In J-Curve","Above Water")</f>
        <v>In J-Curve</v>
      </c>
    </row>
    <row r="14" spans="2:8" ht="18" customHeight="1" x14ac:dyDescent="0.35">
      <c r="B14" s="21" t="s">
        <v>76</v>
      </c>
      <c r="C14" s="35">
        <v>0</v>
      </c>
      <c r="D14" s="64">
        <v>25000000</v>
      </c>
      <c r="E14" s="69">
        <f>C14-F14</f>
        <v>-25000000</v>
      </c>
      <c r="F14" s="71">
        <v>25000000</v>
      </c>
      <c r="G14" s="41">
        <f>G13+F14</f>
        <v>-445936600</v>
      </c>
      <c r="H14" s="44" t="str">
        <f>IF(G14&lt;0,"In J-Curve","Above Water")</f>
        <v>In J-Curve</v>
      </c>
    </row>
    <row r="15" spans="2:8" ht="19.5" customHeight="1" x14ac:dyDescent="0.35">
      <c r="B15" s="19" t="s">
        <v>23</v>
      </c>
      <c r="C15" s="20">
        <f>SUM(C6:C14)</f>
        <v>-455932875</v>
      </c>
      <c r="D15" s="72">
        <f>SUM(D6:D14)</f>
        <v>25000000</v>
      </c>
      <c r="E15" s="61">
        <f>SUM(E6:E14)</f>
        <v>-9996275</v>
      </c>
      <c r="F15" s="73">
        <f>SUM(F6:F14)</f>
        <v>-445936600</v>
      </c>
      <c r="G15" s="20">
        <f>SUM(G6:G14)</f>
        <v>-1773671025</v>
      </c>
      <c r="H15" s="45"/>
    </row>
    <row r="17" spans="2:8" ht="36" customHeight="1" x14ac:dyDescent="0.35">
      <c r="B17" s="3" t="s">
        <v>77</v>
      </c>
      <c r="C17" s="3"/>
      <c r="D17" s="3"/>
      <c r="E17" s="3"/>
      <c r="F17" s="3"/>
      <c r="G17" s="3"/>
      <c r="H17" s="3"/>
    </row>
  </sheetData>
  <mergeCells count="3">
    <mergeCell ref="B2:H2"/>
    <mergeCell ref="B3:H3"/>
    <mergeCell ref="B17:H17"/>
  </mergeCells>
  <conditionalFormatting sqref="G6:G14">
    <cfRule type="cellIs" dxfId="3" priority="1" operator="lessThan">
      <formula>0</formula>
    </cfRule>
  </conditionalFormatting>
  <conditionalFormatting sqref="G6:G14">
    <cfRule type="cellIs" dxfId="2" priority="2" operator="greaterThanOrEqual">
      <formula>0</formula>
    </cfRule>
  </conditionalFormatting>
  <conditionalFormatting sqref="H6:H14">
    <cfRule type="containsText" dxfId="1" priority="3" operator="containsText" text="In J-Curve">
      <formula>NOT(ISERROR(SEARCH("In J-Curve",H6)))</formula>
    </cfRule>
  </conditionalFormatting>
  <conditionalFormatting sqref="H6:H14">
    <cfRule type="containsText" dxfId="0" priority="4" operator="containsText" text="Above Water">
      <formula>NOT(ISERROR(SEARCH("Above Water",H6)))</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24"/>
  <sheetViews>
    <sheetView showGridLines="0" topLeftCell="A3" zoomScale="78" zoomScaleNormal="100" workbookViewId="0">
      <selection activeCell="F13" sqref="F13"/>
    </sheetView>
  </sheetViews>
  <sheetFormatPr defaultColWidth="8.6328125" defaultRowHeight="14.5" x14ac:dyDescent="0.35"/>
  <cols>
    <col min="1" max="1" width="3" customWidth="1"/>
    <col min="2" max="2" width="26" customWidth="1"/>
    <col min="3" max="6" width="20" customWidth="1"/>
    <col min="7" max="7" width="3" customWidth="1"/>
  </cols>
  <sheetData>
    <row r="2" spans="2:7" ht="37.5" customHeight="1" x14ac:dyDescent="0.35">
      <c r="B2" s="6" t="s">
        <v>78</v>
      </c>
      <c r="C2" s="6"/>
      <c r="D2" s="6"/>
      <c r="E2" s="6"/>
      <c r="F2" s="6"/>
      <c r="G2" s="6"/>
    </row>
    <row r="3" spans="2:7" ht="19.5" customHeight="1" x14ac:dyDescent="0.35">
      <c r="B3" s="5" t="s">
        <v>79</v>
      </c>
      <c r="C3" s="5"/>
      <c r="D3" s="5"/>
      <c r="E3" s="5"/>
      <c r="F3" s="5"/>
      <c r="G3" s="5"/>
    </row>
    <row r="5" spans="2:7" ht="21.75" customHeight="1" x14ac:dyDescent="0.35">
      <c r="B5" s="1" t="s">
        <v>80</v>
      </c>
      <c r="C5" s="1"/>
      <c r="D5" s="1"/>
      <c r="E5" s="1"/>
      <c r="F5" s="1"/>
    </row>
    <row r="6" spans="2:7" ht="31.5" customHeight="1" x14ac:dyDescent="0.35">
      <c r="B6" s="33" t="s">
        <v>81</v>
      </c>
      <c r="C6" s="33" t="s">
        <v>16</v>
      </c>
      <c r="D6" s="33" t="s">
        <v>82</v>
      </c>
      <c r="E6" s="33" t="s">
        <v>83</v>
      </c>
      <c r="F6" s="33" t="s">
        <v>84</v>
      </c>
    </row>
    <row r="7" spans="2:7" ht="18" customHeight="1" x14ac:dyDescent="0.35">
      <c r="B7" s="21" t="s">
        <v>85</v>
      </c>
      <c r="C7" s="22" t="s">
        <v>21</v>
      </c>
      <c r="D7" s="22" t="s">
        <v>32</v>
      </c>
      <c r="E7" s="46">
        <f>'FX Impact Summary'!D7</f>
        <v>1750000</v>
      </c>
      <c r="F7" s="16">
        <f>'FX Impact Summary'!F7</f>
        <v>1937775</v>
      </c>
    </row>
    <row r="8" spans="2:7" ht="18" customHeight="1" x14ac:dyDescent="0.35">
      <c r="B8" s="25" t="s">
        <v>86</v>
      </c>
      <c r="C8" s="26" t="s">
        <v>21</v>
      </c>
      <c r="D8" s="26" t="s">
        <v>32</v>
      </c>
      <c r="E8" s="47">
        <f>'FX Impact Summary'!D9</f>
        <v>1750000</v>
      </c>
      <c r="F8" s="18">
        <f>'FX Impact Summary'!F9</f>
        <v>1834000</v>
      </c>
    </row>
    <row r="9" spans="2:7" ht="18" customHeight="1" x14ac:dyDescent="0.35">
      <c r="B9" s="21" t="s">
        <v>87</v>
      </c>
      <c r="C9" s="22" t="s">
        <v>21</v>
      </c>
      <c r="D9" s="22" t="s">
        <v>32</v>
      </c>
      <c r="E9" s="46">
        <f>'FX Impact Summary'!D11</f>
        <v>1750000</v>
      </c>
      <c r="F9" s="16">
        <f>'FX Impact Summary'!F11</f>
        <v>1714300</v>
      </c>
    </row>
    <row r="10" spans="2:7" ht="18" customHeight="1" x14ac:dyDescent="0.35">
      <c r="B10" s="25" t="s">
        <v>88</v>
      </c>
      <c r="C10" s="26" t="s">
        <v>21</v>
      </c>
      <c r="D10" s="26" t="s">
        <v>32</v>
      </c>
      <c r="E10" s="47">
        <f>'FX Impact Summary'!D12</f>
        <v>1750000</v>
      </c>
      <c r="F10" s="18">
        <f>'FX Impact Summary'!F12</f>
        <v>1873375</v>
      </c>
    </row>
    <row r="11" spans="2:7" ht="18" customHeight="1" x14ac:dyDescent="0.35">
      <c r="B11" s="21" t="s">
        <v>88</v>
      </c>
      <c r="C11" s="22" t="s">
        <v>21</v>
      </c>
      <c r="D11" s="22" t="s">
        <v>89</v>
      </c>
      <c r="E11" s="46">
        <f>'FX Impact Summary'!D13</f>
        <v>45000</v>
      </c>
      <c r="F11" s="16">
        <f>'FX Impact Summary'!F13</f>
        <v>48172.5</v>
      </c>
    </row>
    <row r="12" spans="2:7" ht="18" customHeight="1" x14ac:dyDescent="0.35">
      <c r="B12" s="25" t="s">
        <v>90</v>
      </c>
      <c r="C12" s="26" t="s">
        <v>21</v>
      </c>
      <c r="D12" s="26" t="s">
        <v>32</v>
      </c>
      <c r="E12" s="47">
        <f>'FX Impact Summary'!D14</f>
        <v>1750000</v>
      </c>
      <c r="F12" s="18">
        <f>'FX Impact Summary'!F14</f>
        <v>1905925</v>
      </c>
    </row>
    <row r="13" spans="2:7" ht="18" customHeight="1" x14ac:dyDescent="0.35">
      <c r="B13" s="21" t="s">
        <v>91</v>
      </c>
      <c r="C13" s="22" t="s">
        <v>22</v>
      </c>
      <c r="D13" s="22" t="s">
        <v>32</v>
      </c>
      <c r="E13" s="46">
        <f>'FX Impact Summary'!D16</f>
        <v>1000000</v>
      </c>
      <c r="F13" s="16">
        <f>'FX Impact Summary'!F16</f>
        <v>1000000</v>
      </c>
    </row>
    <row r="14" spans="2:7" ht="18" customHeight="1" x14ac:dyDescent="0.35">
      <c r="B14" s="25" t="s">
        <v>91</v>
      </c>
      <c r="C14" s="26" t="s">
        <v>21</v>
      </c>
      <c r="D14" s="26" t="s">
        <v>32</v>
      </c>
      <c r="E14" s="47">
        <f>'Transaction Detail'!E15</f>
        <v>0</v>
      </c>
      <c r="F14" s="18">
        <f>'Transaction Detail'!E15</f>
        <v>0</v>
      </c>
    </row>
    <row r="15" spans="2:7" ht="18" customHeight="1" x14ac:dyDescent="0.35">
      <c r="B15" s="21" t="s">
        <v>92</v>
      </c>
      <c r="C15" s="22" t="s">
        <v>21</v>
      </c>
      <c r="D15" s="22" t="s">
        <v>32</v>
      </c>
      <c r="E15" s="46">
        <f>'FX Impact Summary'!D19</f>
        <v>1750000</v>
      </c>
      <c r="F15" s="16">
        <f>'FX Impact Summary'!F19</f>
        <v>1850274.9999999998</v>
      </c>
    </row>
    <row r="16" spans="2:7" ht="18" customHeight="1" x14ac:dyDescent="0.35">
      <c r="B16" s="25" t="s">
        <v>93</v>
      </c>
      <c r="C16" s="26" t="s">
        <v>22</v>
      </c>
      <c r="D16" s="26" t="s">
        <v>32</v>
      </c>
      <c r="E16" s="47">
        <f>'FX Impact Summary'!D21</f>
        <v>1000000</v>
      </c>
      <c r="F16" s="18">
        <f>'FX Impact Summary'!F21</f>
        <v>1000000</v>
      </c>
    </row>
    <row r="17" spans="2:6" ht="18" customHeight="1" x14ac:dyDescent="0.35">
      <c r="B17" s="21" t="s">
        <v>93</v>
      </c>
      <c r="C17" s="22" t="s">
        <v>21</v>
      </c>
      <c r="D17" s="22" t="s">
        <v>32</v>
      </c>
      <c r="E17" s="46">
        <f>'FX Impact Summary'!D22</f>
        <v>1750000</v>
      </c>
      <c r="F17" s="16">
        <f>'FX Impact Summary'!F22</f>
        <v>1888075</v>
      </c>
    </row>
    <row r="18" spans="2:6" ht="19.5" customHeight="1" x14ac:dyDescent="0.35">
      <c r="B18" s="4" t="s">
        <v>94</v>
      </c>
      <c r="C18" s="4"/>
      <c r="D18" s="4"/>
      <c r="E18" s="4"/>
      <c r="F18" s="20">
        <f>SUM(F7:F17)</f>
        <v>15051897.5</v>
      </c>
    </row>
    <row r="20" spans="2:6" ht="15" customHeight="1" x14ac:dyDescent="0.35">
      <c r="B20" s="1" t="s">
        <v>95</v>
      </c>
      <c r="C20" s="1"/>
      <c r="D20" s="1"/>
      <c r="E20" s="1"/>
      <c r="F20" s="1"/>
    </row>
    <row r="21" spans="2:6" ht="27.75" customHeight="1" x14ac:dyDescent="0.35">
      <c r="B21" s="33" t="s">
        <v>96</v>
      </c>
      <c r="C21" s="33" t="s">
        <v>97</v>
      </c>
      <c r="D21" s="33" t="s">
        <v>98</v>
      </c>
    </row>
    <row r="22" spans="2:6" ht="18" customHeight="1" x14ac:dyDescent="0.35">
      <c r="B22" s="48" t="s">
        <v>99</v>
      </c>
      <c r="C22" s="16">
        <v>7407623</v>
      </c>
      <c r="D22" s="49">
        <f>C22/'LP Statement'!D20</f>
        <v>1.6247178929573787E-2</v>
      </c>
    </row>
    <row r="23" spans="2:6" ht="18" customHeight="1" x14ac:dyDescent="0.35">
      <c r="B23" s="50" t="s">
        <v>100</v>
      </c>
      <c r="C23" s="18">
        <v>4756200</v>
      </c>
      <c r="D23" s="51">
        <f>C23/'LP Statement'!D20</f>
        <v>1.043179875985034E-2</v>
      </c>
    </row>
    <row r="24" spans="2:6" ht="18" customHeight="1" x14ac:dyDescent="0.35">
      <c r="B24" s="48" t="s">
        <v>101</v>
      </c>
      <c r="C24" s="16">
        <v>2888075</v>
      </c>
      <c r="D24" s="49">
        <f>C24/'LP Statement'!D20</f>
        <v>6.3344302601561686E-3</v>
      </c>
    </row>
  </sheetData>
  <mergeCells count="5">
    <mergeCell ref="B2:G2"/>
    <mergeCell ref="B3:G3"/>
    <mergeCell ref="B5:F5"/>
    <mergeCell ref="B18:E18"/>
    <mergeCell ref="B20:F2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58"/>
  <sheetViews>
    <sheetView showGridLines="0" tabSelected="1" zoomScale="67" zoomScaleNormal="100" workbookViewId="0">
      <selection activeCell="G7" sqref="G7"/>
    </sheetView>
  </sheetViews>
  <sheetFormatPr defaultColWidth="8.6328125" defaultRowHeight="14.5" x14ac:dyDescent="0.35"/>
  <cols>
    <col min="1" max="1" width="3" customWidth="1"/>
    <col min="2" max="2" width="26" customWidth="1"/>
    <col min="3" max="7" width="16" customWidth="1"/>
    <col min="8" max="8" width="3" customWidth="1"/>
  </cols>
  <sheetData>
    <row r="2" spans="2:7" ht="37.5" customHeight="1" x14ac:dyDescent="0.35">
      <c r="B2" s="6" t="s">
        <v>102</v>
      </c>
      <c r="C2" s="6"/>
      <c r="D2" s="6"/>
      <c r="E2" s="6"/>
      <c r="F2" s="6"/>
      <c r="G2" s="6"/>
    </row>
    <row r="3" spans="2:7" ht="19.5" customHeight="1" x14ac:dyDescent="0.35">
      <c r="B3" s="5" t="s">
        <v>103</v>
      </c>
      <c r="C3" s="5"/>
      <c r="D3" s="5"/>
      <c r="E3" s="5"/>
      <c r="F3" s="5"/>
      <c r="G3" s="5"/>
    </row>
    <row r="5" spans="2:7" ht="21.75" customHeight="1" x14ac:dyDescent="0.35">
      <c r="B5" s="1" t="s">
        <v>104</v>
      </c>
      <c r="C5" s="1"/>
      <c r="D5" s="1"/>
      <c r="E5" s="1"/>
      <c r="F5" s="1"/>
      <c r="G5" s="1"/>
    </row>
    <row r="6" spans="2:7" ht="31.5" customHeight="1" x14ac:dyDescent="0.35">
      <c r="B6" s="33" t="s">
        <v>26</v>
      </c>
      <c r="C6" s="33" t="s">
        <v>27</v>
      </c>
      <c r="D6" s="33" t="s">
        <v>105</v>
      </c>
      <c r="E6" s="33" t="s">
        <v>106</v>
      </c>
      <c r="F6" s="33" t="s">
        <v>84</v>
      </c>
      <c r="G6" s="33" t="s">
        <v>138</v>
      </c>
    </row>
    <row r="7" spans="2:7" ht="18" customHeight="1" x14ac:dyDescent="0.35">
      <c r="B7" s="21" t="s">
        <v>31</v>
      </c>
      <c r="C7" s="22" t="s">
        <v>32</v>
      </c>
      <c r="D7" s="52">
        <v>1750000</v>
      </c>
      <c r="E7" s="24">
        <v>1.1073</v>
      </c>
      <c r="F7" s="16">
        <f>D7*E7</f>
        <v>1937775</v>
      </c>
      <c r="G7" s="34">
        <f>(D7*1.0812)-F7</f>
        <v>-45675</v>
      </c>
    </row>
    <row r="8" spans="2:7" ht="18" customHeight="1" x14ac:dyDescent="0.35">
      <c r="B8" s="25" t="s">
        <v>33</v>
      </c>
      <c r="C8" s="26" t="s">
        <v>34</v>
      </c>
      <c r="D8" s="53">
        <v>52500000</v>
      </c>
      <c r="E8" s="27">
        <v>1.0541</v>
      </c>
      <c r="F8" s="18">
        <f>D8*E8</f>
        <v>55340250</v>
      </c>
      <c r="G8" s="40">
        <f>(D8*1.0812)-F8</f>
        <v>1422750</v>
      </c>
    </row>
    <row r="9" spans="2:7" ht="18" customHeight="1" x14ac:dyDescent="0.35">
      <c r="B9" s="21" t="s">
        <v>35</v>
      </c>
      <c r="C9" s="22" t="s">
        <v>32</v>
      </c>
      <c r="D9" s="52">
        <v>1750000</v>
      </c>
      <c r="E9" s="24">
        <v>1.048</v>
      </c>
      <c r="F9" s="16">
        <f>D9*E9</f>
        <v>1834000</v>
      </c>
      <c r="G9" s="34">
        <f>(D9*1.0812)-F9</f>
        <v>58100</v>
      </c>
    </row>
    <row r="10" spans="2:7" ht="18" customHeight="1" x14ac:dyDescent="0.35">
      <c r="B10" s="25" t="s">
        <v>36</v>
      </c>
      <c r="C10" s="26" t="s">
        <v>34</v>
      </c>
      <c r="D10" s="53">
        <v>52500000</v>
      </c>
      <c r="E10" s="27">
        <v>1.0218</v>
      </c>
      <c r="F10" s="18">
        <f>D10*E10</f>
        <v>53644500</v>
      </c>
      <c r="G10" s="40">
        <f>(D10*1.0812)-F10</f>
        <v>3118500</v>
      </c>
    </row>
    <row r="11" spans="2:7" ht="18" customHeight="1" x14ac:dyDescent="0.35">
      <c r="B11" s="21" t="s">
        <v>37</v>
      </c>
      <c r="C11" s="22" t="s">
        <v>32</v>
      </c>
      <c r="D11" s="52">
        <v>1750000</v>
      </c>
      <c r="E11" s="24">
        <v>0.97960000000000003</v>
      </c>
      <c r="F11" s="16">
        <f>D11*E11</f>
        <v>1714300</v>
      </c>
      <c r="G11" s="41">
        <f>(D11*1.0812)-F11</f>
        <v>177800</v>
      </c>
    </row>
    <row r="12" spans="2:7" ht="18" customHeight="1" x14ac:dyDescent="0.35">
      <c r="B12" s="25" t="s">
        <v>38</v>
      </c>
      <c r="C12" s="26" t="s">
        <v>32</v>
      </c>
      <c r="D12" s="53">
        <v>1750000</v>
      </c>
      <c r="E12" s="27">
        <v>1.0705</v>
      </c>
      <c r="F12" s="18">
        <f>D12*E12</f>
        <v>1873375</v>
      </c>
      <c r="G12" s="40">
        <f>(D12*1.0812)-F12</f>
        <v>18725</v>
      </c>
    </row>
    <row r="13" spans="2:7" ht="18" customHeight="1" x14ac:dyDescent="0.35">
      <c r="B13" s="21" t="s">
        <v>38</v>
      </c>
      <c r="C13" s="22" t="s">
        <v>89</v>
      </c>
      <c r="D13" s="52">
        <v>45000</v>
      </c>
      <c r="E13" s="24">
        <v>1.0705</v>
      </c>
      <c r="F13" s="16">
        <f>D13*E13</f>
        <v>48172.5</v>
      </c>
      <c r="G13" s="34">
        <f>(D13*1.0812)-F13</f>
        <v>481.5</v>
      </c>
    </row>
    <row r="14" spans="2:7" ht="18" customHeight="1" x14ac:dyDescent="0.35">
      <c r="B14" s="25" t="s">
        <v>39</v>
      </c>
      <c r="C14" s="26" t="s">
        <v>32</v>
      </c>
      <c r="D14" s="53">
        <v>1750000</v>
      </c>
      <c r="E14" s="27">
        <v>1.0891</v>
      </c>
      <c r="F14" s="18">
        <f>D14*E14</f>
        <v>1905925</v>
      </c>
      <c r="G14" s="40">
        <f>(D14*1.0812)-F14</f>
        <v>-13825</v>
      </c>
    </row>
    <row r="15" spans="2:7" ht="18" customHeight="1" x14ac:dyDescent="0.35">
      <c r="B15" s="21" t="s">
        <v>40</v>
      </c>
      <c r="C15" s="22" t="s">
        <v>34</v>
      </c>
      <c r="D15" s="52">
        <v>30000000</v>
      </c>
      <c r="E15" s="24">
        <v>1</v>
      </c>
      <c r="F15" s="16">
        <f>D15*E15</f>
        <v>30000000</v>
      </c>
      <c r="G15" s="41">
        <f>(D15*1.0812)-F15</f>
        <v>2436000</v>
      </c>
    </row>
    <row r="16" spans="2:7" ht="18" customHeight="1" x14ac:dyDescent="0.35">
      <c r="B16" s="21" t="s">
        <v>41</v>
      </c>
      <c r="C16" s="22" t="s">
        <v>32</v>
      </c>
      <c r="D16" s="52">
        <v>1000000</v>
      </c>
      <c r="E16" s="24">
        <v>1</v>
      </c>
      <c r="F16" s="16">
        <f>D16*E16</f>
        <v>1000000</v>
      </c>
      <c r="G16" s="41">
        <f>(D16*1.0812)-F16</f>
        <v>81200</v>
      </c>
    </row>
    <row r="17" spans="2:7" ht="18" customHeight="1" x14ac:dyDescent="0.35">
      <c r="B17" s="25" t="s">
        <v>42</v>
      </c>
      <c r="C17" s="26" t="s">
        <v>34</v>
      </c>
      <c r="D17" s="53">
        <v>87500000</v>
      </c>
      <c r="E17" s="27">
        <v>1.1009</v>
      </c>
      <c r="F17" s="18">
        <f>D17*E17</f>
        <v>96328750</v>
      </c>
      <c r="G17" s="40">
        <f>(D17*1.0812)-F17</f>
        <v>-1723750</v>
      </c>
    </row>
    <row r="18" spans="2:7" ht="18" customHeight="1" x14ac:dyDescent="0.35">
      <c r="B18" s="21" t="s">
        <v>43</v>
      </c>
      <c r="C18" s="22" t="s">
        <v>34</v>
      </c>
      <c r="D18" s="52">
        <v>50000000</v>
      </c>
      <c r="E18" s="24">
        <v>1</v>
      </c>
      <c r="F18" s="16">
        <f>D18*E18</f>
        <v>50000000</v>
      </c>
      <c r="G18" s="41">
        <f>(D18*1.0812)-F18</f>
        <v>4060000</v>
      </c>
    </row>
    <row r="19" spans="2:7" ht="18" customHeight="1" x14ac:dyDescent="0.35">
      <c r="B19" s="25" t="s">
        <v>44</v>
      </c>
      <c r="C19" s="26" t="s">
        <v>32</v>
      </c>
      <c r="D19" s="53">
        <v>1750000</v>
      </c>
      <c r="E19" s="27">
        <v>1.0572999999999999</v>
      </c>
      <c r="F19" s="18">
        <f>D19*E19</f>
        <v>1850274.9999999998</v>
      </c>
      <c r="G19" s="40">
        <f>(D19*1.0812)-F19</f>
        <v>41825.000000000233</v>
      </c>
    </row>
    <row r="20" spans="2:7" ht="18" customHeight="1" x14ac:dyDescent="0.35">
      <c r="B20" s="21" t="s">
        <v>45</v>
      </c>
      <c r="C20" s="22" t="s">
        <v>34</v>
      </c>
      <c r="D20" s="52">
        <v>157500000</v>
      </c>
      <c r="E20" s="24">
        <v>1.0835999999999999</v>
      </c>
      <c r="F20" s="16">
        <f>D20*E20</f>
        <v>170666999.99999997</v>
      </c>
      <c r="G20" s="34">
        <f>(D20*1.0812)-F20</f>
        <v>-377999.9999999702</v>
      </c>
    </row>
    <row r="21" spans="2:7" ht="18" customHeight="1" x14ac:dyDescent="0.35">
      <c r="B21" s="25" t="s">
        <v>46</v>
      </c>
      <c r="C21" s="26" t="s">
        <v>32</v>
      </c>
      <c r="D21" s="53">
        <v>1000000</v>
      </c>
      <c r="E21" s="27">
        <v>1</v>
      </c>
      <c r="F21" s="18">
        <f>D21*E21</f>
        <v>1000000</v>
      </c>
      <c r="G21" s="37">
        <f>(D21*1.0812)-F21</f>
        <v>81200</v>
      </c>
    </row>
    <row r="22" spans="2:7" ht="18" customHeight="1" x14ac:dyDescent="0.35">
      <c r="B22" s="21" t="s">
        <v>46</v>
      </c>
      <c r="C22" s="22" t="s">
        <v>32</v>
      </c>
      <c r="D22" s="52">
        <v>1750000</v>
      </c>
      <c r="E22" s="24">
        <v>1.0789</v>
      </c>
      <c r="F22" s="16">
        <f>D22*E22</f>
        <v>1888075</v>
      </c>
      <c r="G22" s="34">
        <f>(D22*1.0812)-F22</f>
        <v>4025</v>
      </c>
    </row>
    <row r="23" spans="2:7" ht="19.5" customHeight="1" x14ac:dyDescent="0.35">
      <c r="B23" s="4" t="s">
        <v>107</v>
      </c>
      <c r="C23" s="4"/>
      <c r="D23" s="4"/>
      <c r="E23" s="4"/>
      <c r="F23" s="20">
        <v>470984773</v>
      </c>
      <c r="G23" s="54">
        <f>SUM(G7:G22)</f>
        <v>9339356.5000000298</v>
      </c>
    </row>
    <row r="25" spans="2:7" ht="15" customHeight="1" x14ac:dyDescent="0.35">
      <c r="B25" s="1" t="s">
        <v>108</v>
      </c>
      <c r="C25" s="1"/>
      <c r="D25" s="1"/>
      <c r="E25" s="1"/>
      <c r="F25" s="1"/>
      <c r="G25" s="1"/>
    </row>
    <row r="26" spans="2:7" ht="27.75" customHeight="1" x14ac:dyDescent="0.35">
      <c r="B26" s="33" t="s">
        <v>109</v>
      </c>
      <c r="C26" s="33" t="s">
        <v>110</v>
      </c>
      <c r="D26" s="33" t="s">
        <v>111</v>
      </c>
    </row>
    <row r="27" spans="2:7" ht="15.75" customHeight="1" x14ac:dyDescent="0.35">
      <c r="B27" s="21" t="s">
        <v>112</v>
      </c>
      <c r="C27" s="55">
        <v>1.1229</v>
      </c>
      <c r="D27" s="21" t="s">
        <v>113</v>
      </c>
    </row>
    <row r="28" spans="2:7" ht="15.75" customHeight="1" x14ac:dyDescent="0.35">
      <c r="B28" s="25" t="s">
        <v>114</v>
      </c>
      <c r="C28" s="56">
        <v>1.1127</v>
      </c>
      <c r="D28" s="57">
        <f>(C28-C27)/C27</f>
        <v>-9.08362276248997E-3</v>
      </c>
    </row>
    <row r="29" spans="2:7" ht="15.75" customHeight="1" x14ac:dyDescent="0.35">
      <c r="B29" s="21" t="s">
        <v>85</v>
      </c>
      <c r="C29" s="55">
        <v>1.1073</v>
      </c>
      <c r="D29" s="58">
        <f>(C29-C28)/C28</f>
        <v>-4.8530601240227116E-3</v>
      </c>
    </row>
    <row r="30" spans="2:7" ht="15.75" customHeight="1" x14ac:dyDescent="0.35">
      <c r="B30" s="25" t="s">
        <v>115</v>
      </c>
      <c r="C30" s="56">
        <v>1.0541</v>
      </c>
      <c r="D30" s="57">
        <f>(C30-C29)/C29</f>
        <v>-4.8044793642192649E-2</v>
      </c>
    </row>
    <row r="31" spans="2:7" ht="15.75" customHeight="1" x14ac:dyDescent="0.35">
      <c r="B31" s="21" t="s">
        <v>116</v>
      </c>
      <c r="C31" s="55">
        <v>1.0723</v>
      </c>
      <c r="D31" s="59">
        <f>(C31-C30)/C30</f>
        <v>1.7265914049900383E-2</v>
      </c>
    </row>
    <row r="32" spans="2:7" ht="15.75" customHeight="1" x14ac:dyDescent="0.35">
      <c r="B32" s="25" t="s">
        <v>86</v>
      </c>
      <c r="C32" s="56">
        <v>1.048</v>
      </c>
      <c r="D32" s="57">
        <f>(C32-C31)/C31</f>
        <v>-2.2661568590879408E-2</v>
      </c>
    </row>
    <row r="33" spans="2:4" ht="15.75" customHeight="1" x14ac:dyDescent="0.35">
      <c r="B33" s="21" t="s">
        <v>117</v>
      </c>
      <c r="C33" s="55">
        <v>1.0218</v>
      </c>
      <c r="D33" s="58">
        <f>(C33-C32)/C32</f>
        <v>-2.5000000000000001E-2</v>
      </c>
    </row>
    <row r="34" spans="2:4" ht="15.75" customHeight="1" x14ac:dyDescent="0.35">
      <c r="B34" s="25" t="s">
        <v>118</v>
      </c>
      <c r="C34" s="56">
        <v>0.99580000000000002</v>
      </c>
      <c r="D34" s="57">
        <f>(C34-C33)/C33</f>
        <v>-2.5445292620865163E-2</v>
      </c>
    </row>
    <row r="35" spans="2:4" ht="15.75" customHeight="1" x14ac:dyDescent="0.35">
      <c r="B35" s="21" t="s">
        <v>87</v>
      </c>
      <c r="C35" s="55">
        <v>0.97960000000000003</v>
      </c>
      <c r="D35" s="58">
        <f>(C35-C34)/C34</f>
        <v>-1.6268326973287801E-2</v>
      </c>
    </row>
    <row r="36" spans="2:4" ht="15.75" customHeight="1" x14ac:dyDescent="0.35">
      <c r="B36" s="25" t="s">
        <v>119</v>
      </c>
      <c r="C36" s="56">
        <v>0.99639999999999995</v>
      </c>
      <c r="D36" s="60">
        <f>(C36-C35)/C35</f>
        <v>1.7149857084524218E-2</v>
      </c>
    </row>
    <row r="37" spans="2:4" ht="15.75" customHeight="1" x14ac:dyDescent="0.35">
      <c r="B37" s="21" t="s">
        <v>120</v>
      </c>
      <c r="C37" s="55">
        <v>1.0338000000000001</v>
      </c>
      <c r="D37" s="59">
        <f>(C37-C36)/C36</f>
        <v>3.753512645523896E-2</v>
      </c>
    </row>
    <row r="38" spans="2:4" ht="15.75" customHeight="1" x14ac:dyDescent="0.35">
      <c r="B38" s="25" t="s">
        <v>88</v>
      </c>
      <c r="C38" s="56">
        <v>1.0705</v>
      </c>
      <c r="D38" s="60">
        <f>(C38-C37)/C37</f>
        <v>3.5500096730508759E-2</v>
      </c>
    </row>
    <row r="39" spans="2:4" ht="15.75" customHeight="1" x14ac:dyDescent="0.35">
      <c r="B39" s="21" t="s">
        <v>121</v>
      </c>
      <c r="C39" s="55">
        <v>1.0862000000000001</v>
      </c>
      <c r="D39" s="59">
        <f>(C39-C38)/C38</f>
        <v>1.4666043904717466E-2</v>
      </c>
    </row>
    <row r="40" spans="2:4" ht="15.75" customHeight="1" x14ac:dyDescent="0.35">
      <c r="B40" s="25" t="s">
        <v>122</v>
      </c>
      <c r="C40" s="56">
        <v>1.0602</v>
      </c>
      <c r="D40" s="57">
        <f>(C40-C39)/C39</f>
        <v>-2.393665991530107E-2</v>
      </c>
    </row>
    <row r="41" spans="2:4" ht="15.75" customHeight="1" x14ac:dyDescent="0.35">
      <c r="B41" s="21" t="s">
        <v>90</v>
      </c>
      <c r="C41" s="55">
        <v>1.0891</v>
      </c>
      <c r="D41" s="59">
        <f>(C41-C40)/C40</f>
        <v>2.7259007734389665E-2</v>
      </c>
    </row>
    <row r="42" spans="2:4" ht="15.75" customHeight="1" x14ac:dyDescent="0.35">
      <c r="B42" s="25" t="s">
        <v>123</v>
      </c>
      <c r="C42" s="56">
        <v>1.1015999999999999</v>
      </c>
      <c r="D42" s="60">
        <f>(C42-C41)/C41</f>
        <v>1.1477366632999685E-2</v>
      </c>
    </row>
    <row r="43" spans="2:4" ht="15.75" customHeight="1" x14ac:dyDescent="0.35">
      <c r="B43" s="21" t="s">
        <v>124</v>
      </c>
      <c r="C43" s="55">
        <v>1.0778000000000001</v>
      </c>
      <c r="D43" s="58">
        <f>(C43-C42)/C42</f>
        <v>-2.1604938271604777E-2</v>
      </c>
    </row>
    <row r="44" spans="2:4" ht="15.75" customHeight="1" x14ac:dyDescent="0.35">
      <c r="B44" s="25" t="s">
        <v>125</v>
      </c>
      <c r="C44" s="56">
        <v>1.1009</v>
      </c>
      <c r="D44" s="60">
        <f>(C44-C43)/C43</f>
        <v>2.1432547782519851E-2</v>
      </c>
    </row>
    <row r="45" spans="2:4" ht="15.75" customHeight="1" x14ac:dyDescent="0.35">
      <c r="B45" s="21" t="s">
        <v>126</v>
      </c>
      <c r="C45" s="55">
        <v>1.0846</v>
      </c>
      <c r="D45" s="58">
        <f>(C45-C44)/C44</f>
        <v>-1.480606776273956E-2</v>
      </c>
    </row>
    <row r="46" spans="2:4" ht="15.75" customHeight="1" x14ac:dyDescent="0.35">
      <c r="B46" s="25" t="s">
        <v>92</v>
      </c>
      <c r="C46" s="56">
        <v>1.0572999999999999</v>
      </c>
      <c r="D46" s="57">
        <f>(C46-C45)/C45</f>
        <v>-2.5170569795316341E-2</v>
      </c>
    </row>
    <row r="47" spans="2:4" ht="15.75" customHeight="1" x14ac:dyDescent="0.35">
      <c r="B47" s="21" t="s">
        <v>127</v>
      </c>
      <c r="C47" s="55">
        <v>1.0561</v>
      </c>
      <c r="D47" s="58">
        <f>(C47-C46)/C46</f>
        <v>-1.1349664239098344E-3</v>
      </c>
    </row>
    <row r="48" spans="2:4" ht="15.75" customHeight="1" x14ac:dyDescent="0.35">
      <c r="B48" s="25" t="s">
        <v>128</v>
      </c>
      <c r="C48" s="56">
        <v>1.0966</v>
      </c>
      <c r="D48" s="60">
        <f>(C48-C47)/C47</f>
        <v>3.8348641227156498E-2</v>
      </c>
    </row>
    <row r="49" spans="2:4" ht="15.75" customHeight="1" x14ac:dyDescent="0.35">
      <c r="B49" s="21" t="s">
        <v>129</v>
      </c>
      <c r="C49" s="55">
        <v>1.105</v>
      </c>
      <c r="D49" s="59">
        <f>(C49-C48)/C48</f>
        <v>7.6600401240196634E-3</v>
      </c>
    </row>
    <row r="50" spans="2:4" ht="15.75" customHeight="1" x14ac:dyDescent="0.35">
      <c r="B50" s="25" t="s">
        <v>130</v>
      </c>
      <c r="C50" s="56">
        <v>1.0835999999999999</v>
      </c>
      <c r="D50" s="57">
        <f>(C50-C49)/C49</f>
        <v>-1.9366515837104151E-2</v>
      </c>
    </row>
    <row r="51" spans="2:4" ht="15.75" customHeight="1" x14ac:dyDescent="0.35">
      <c r="B51" s="21" t="s">
        <v>131</v>
      </c>
      <c r="C51" s="55">
        <v>1.0833999999999999</v>
      </c>
      <c r="D51" s="58">
        <f>(C51-C50)/C50</f>
        <v>-1.8456995201179217E-4</v>
      </c>
    </row>
    <row r="52" spans="2:4" ht="15.75" customHeight="1" x14ac:dyDescent="0.35">
      <c r="B52" s="25" t="s">
        <v>93</v>
      </c>
      <c r="C52" s="56">
        <v>1.0789</v>
      </c>
      <c r="D52" s="57">
        <f>(C52-C51)/C51</f>
        <v>-4.153590548273905E-3</v>
      </c>
    </row>
    <row r="53" spans="2:4" ht="15.75" customHeight="1" x14ac:dyDescent="0.35">
      <c r="B53" s="21" t="s">
        <v>132</v>
      </c>
      <c r="C53" s="55">
        <v>1.0707</v>
      </c>
      <c r="D53" s="58">
        <f>(C53-C52)/C52</f>
        <v>-7.6003336731856382E-3</v>
      </c>
    </row>
    <row r="54" spans="2:4" ht="15.75" customHeight="1" x14ac:dyDescent="0.35">
      <c r="B54" s="25" t="s">
        <v>133</v>
      </c>
      <c r="C54" s="56">
        <v>1.0854999999999999</v>
      </c>
      <c r="D54" s="60">
        <f>(C54-C53)/C53</f>
        <v>1.3822732791631572E-2</v>
      </c>
    </row>
    <row r="55" spans="2:4" ht="15.75" customHeight="1" x14ac:dyDescent="0.35">
      <c r="B55" s="21" t="s">
        <v>134</v>
      </c>
      <c r="C55" s="55">
        <v>1.0711999999999999</v>
      </c>
      <c r="D55" s="58">
        <f>(C55-C54)/C54</f>
        <v>-1.3173652694610761E-2</v>
      </c>
    </row>
    <row r="56" spans="2:4" ht="15.75" customHeight="1" x14ac:dyDescent="0.35">
      <c r="B56" s="25" t="s">
        <v>135</v>
      </c>
      <c r="C56" s="56">
        <v>1.0814999999999999</v>
      </c>
      <c r="D56" s="60">
        <f>(C56-C55)/C55</f>
        <v>9.6153846153845934E-3</v>
      </c>
    </row>
    <row r="57" spans="2:4" ht="15.75" customHeight="1" x14ac:dyDescent="0.35">
      <c r="B57" s="21" t="s">
        <v>136</v>
      </c>
      <c r="C57" s="55">
        <v>1.1042000000000001</v>
      </c>
      <c r="D57" s="59">
        <f>(C57-C56)/C56</f>
        <v>2.0989366620434737E-2</v>
      </c>
    </row>
    <row r="58" spans="2:4" ht="15.75" customHeight="1" x14ac:dyDescent="0.35">
      <c r="B58" s="25" t="s">
        <v>137</v>
      </c>
      <c r="C58" s="56">
        <v>1.1143000000000001</v>
      </c>
      <c r="D58" s="60">
        <f>(C58-C57)/C57</f>
        <v>9.1468936786813955E-3</v>
      </c>
    </row>
  </sheetData>
  <mergeCells count="5">
    <mergeCell ref="B2:G2"/>
    <mergeCell ref="B3:G3"/>
    <mergeCell ref="B5:G5"/>
    <mergeCell ref="B23:E23"/>
    <mergeCell ref="B25:G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LP Statement</vt:lpstr>
      <vt:lpstr>Transaction Detail</vt:lpstr>
      <vt:lpstr>Fund Performance</vt:lpstr>
      <vt:lpstr>NAV Attribution</vt:lpstr>
      <vt:lpstr>Cash Flow Timeline</vt:lpstr>
      <vt:lpstr>Fee Summary</vt:lpstr>
      <vt:lpstr>FX Impact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Akhil Vohra</cp:lastModifiedBy>
  <cp:revision>0</cp:revision>
  <dcterms:created xsi:type="dcterms:W3CDTF">2026-03-03T12:59:19Z</dcterms:created>
  <dcterms:modified xsi:type="dcterms:W3CDTF">2026-03-03T13:30:54Z</dcterms:modified>
  <dc:language>en-US</dc:language>
</cp:coreProperties>
</file>